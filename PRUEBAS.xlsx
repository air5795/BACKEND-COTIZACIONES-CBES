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BES\Desktop\"/>
    </mc:Choice>
  </mc:AlternateContent>
  <xr:revisionPtr revIDLastSave="0" documentId="8_{70C067E7-7CAF-4D30-81A1-61CC5164B34D}" xr6:coauthVersionLast="47" xr6:coauthVersionMax="47" xr10:uidLastSave="{00000000-0000-0000-0000-000000000000}"/>
  <bookViews>
    <workbookView xWindow="-120" yWindow="-120" windowWidth="29040" windowHeight="15720" tabRatio="956" xr2:uid="{00000000-000D-0000-FFFF-FFFF00000000}"/>
  </bookViews>
  <sheets>
    <sheet name="CBES" sheetId="47" r:id="rId1"/>
    <sheet name="BCB" sheetId="6" r:id="rId2"/>
    <sheet name="ASFI" sheetId="10" r:id="rId3"/>
    <sheet name="UIF" sheetId="25" r:id="rId4"/>
    <sheet name="FC-BCB" sheetId="34" r:id="rId5"/>
    <sheet name="MNA" sheetId="33" r:id="rId6"/>
    <sheet name="MUSEF" sheetId="29" r:id="rId7"/>
    <sheet name="MEFP" sheetId="8" r:id="rId8"/>
    <sheet name="ENS" sheetId="45" r:id="rId9"/>
    <sheet name="ETS" sheetId="38" r:id="rId10"/>
    <sheet name="EDITORIAL" sheetId="40" r:id="rId11"/>
    <sheet name="AFCOOP" sheetId="36" r:id="rId12"/>
    <sheet name="AISEM" sheetId="37" r:id="rId13"/>
    <sheet name="CENETROP" sheetId="39" r:id="rId14"/>
    <sheet name="CEASS" sheetId="57" r:id="rId15"/>
    <sheet name="PLANIFICACION" sheetId="35" r:id="rId16"/>
    <sheet name="CANCILLERIA" sheetId="62" r:id="rId17"/>
    <sheet name="MEDECIN" sheetId="27" r:id="rId18"/>
    <sheet name="FOODEMSA" sheetId="26" r:id="rId19"/>
    <sheet name="EFITRUCKS" sheetId="28" r:id="rId20"/>
    <sheet name="CONSULADO" sheetId="44" r:id="rId21"/>
    <sheet name="FOIANINI" sheetId="48" r:id="rId22"/>
    <sheet name="ONEDATA" sheetId="51" r:id="rId23"/>
    <sheet name="OPERADORALATIV" sheetId="53" r:id="rId24"/>
    <sheet name="COSAIN" sheetId="31" r:id="rId25"/>
    <sheet name="FOLCOL" sheetId="59" r:id="rId26"/>
    <sheet name="PONQPAST" sheetId="60" r:id="rId27"/>
    <sheet name="SUDEMSA" sheetId="61" r:id="rId28"/>
    <sheet name="ELOHIM" sheetId="64" r:id="rId29"/>
    <sheet name="TOTAL REEMBOLSO" sheetId="32" r:id="rId30"/>
  </sheets>
  <definedNames>
    <definedName name="_xlnm.Print_Area" localSheetId="8">ENS!$A$1:$O$30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" i="6" l="1"/>
  <c r="L7" i="6"/>
  <c r="L17" i="47"/>
  <c r="L16" i="47"/>
  <c r="L8" i="47"/>
  <c r="N10" i="10"/>
  <c r="N8" i="10"/>
  <c r="E18" i="31" l="1"/>
  <c r="F18" i="31"/>
  <c r="J18" i="31"/>
  <c r="L18" i="31"/>
  <c r="N18" i="31" s="1"/>
  <c r="O18" i="31" s="1"/>
  <c r="L17" i="31"/>
  <c r="J17" i="31"/>
  <c r="M17" i="31" s="1"/>
  <c r="F17" i="31"/>
  <c r="E17" i="31"/>
  <c r="K23" i="35"/>
  <c r="N17" i="31" l="1"/>
  <c r="O17" i="31" s="1"/>
  <c r="E13" i="8"/>
  <c r="E12" i="8"/>
  <c r="E11" i="8"/>
  <c r="E10" i="8"/>
  <c r="E9" i="8"/>
  <c r="E8" i="8"/>
  <c r="K9" i="25" l="1"/>
  <c r="H9" i="25"/>
  <c r="I9" i="25" s="1"/>
  <c r="L9" i="25" s="1"/>
  <c r="E9" i="25"/>
  <c r="M9" i="25" l="1"/>
  <c r="N9" i="25" s="1"/>
  <c r="K9" i="47" l="1"/>
  <c r="K8" i="47"/>
  <c r="K8" i="59" l="1"/>
  <c r="K11" i="8" l="1"/>
  <c r="H11" i="8"/>
  <c r="I11" i="8" s="1"/>
  <c r="L11" i="8" s="1"/>
  <c r="K13" i="8"/>
  <c r="H13" i="8"/>
  <c r="I13" i="8" s="1"/>
  <c r="L13" i="8" s="1"/>
  <c r="K8" i="25"/>
  <c r="H8" i="25"/>
  <c r="I8" i="25" s="1"/>
  <c r="E8" i="25"/>
  <c r="M11" i="8" l="1"/>
  <c r="N11" i="8" s="1"/>
  <c r="M8" i="25"/>
  <c r="N8" i="25" s="1"/>
  <c r="M13" i="8"/>
  <c r="N13" i="8" s="1"/>
  <c r="K18" i="47" l="1"/>
  <c r="H18" i="47"/>
  <c r="I18" i="47" s="1"/>
  <c r="E18" i="47"/>
  <c r="K17" i="47"/>
  <c r="H17" i="47"/>
  <c r="I17" i="47" s="1"/>
  <c r="E17" i="47"/>
  <c r="K16" i="47"/>
  <c r="H16" i="47"/>
  <c r="I16" i="47" s="1"/>
  <c r="E16" i="47"/>
  <c r="E9" i="47"/>
  <c r="E8" i="47"/>
  <c r="M16" i="47" l="1"/>
  <c r="N16" i="47" s="1"/>
  <c r="M17" i="47"/>
  <c r="N17" i="47" s="1"/>
  <c r="M18" i="47"/>
  <c r="N18" i="47" s="1"/>
  <c r="L9" i="31" l="1"/>
  <c r="J9" i="31"/>
  <c r="K9" i="31" s="1"/>
  <c r="M9" i="31" s="1"/>
  <c r="E9" i="31"/>
  <c r="F9" i="31" s="1"/>
  <c r="L8" i="31"/>
  <c r="J8" i="31"/>
  <c r="K8" i="31" s="1"/>
  <c r="E8" i="31"/>
  <c r="F8" i="31" s="1"/>
  <c r="L26" i="31"/>
  <c r="N26" i="31" s="1"/>
  <c r="O26" i="31" s="1"/>
  <c r="E26" i="31"/>
  <c r="L25" i="31"/>
  <c r="N25" i="31" s="1"/>
  <c r="O25" i="31" s="1"/>
  <c r="E25" i="31"/>
  <c r="L24" i="31"/>
  <c r="N24" i="31" s="1"/>
  <c r="O24" i="31" s="1"/>
  <c r="E24" i="31"/>
  <c r="L16" i="31"/>
  <c r="N16" i="31" s="1"/>
  <c r="O16" i="31" s="1"/>
  <c r="E16" i="31"/>
  <c r="L10" i="31"/>
  <c r="N10" i="31" s="1"/>
  <c r="O10" i="31" s="1"/>
  <c r="J10" i="31"/>
  <c r="K10" i="31" s="1"/>
  <c r="E10" i="31"/>
  <c r="F10" i="31" s="1"/>
  <c r="L7" i="31"/>
  <c r="N7" i="31" s="1"/>
  <c r="O7" i="31" s="1"/>
  <c r="J7" i="31"/>
  <c r="K7" i="31" s="1"/>
  <c r="E7" i="31"/>
  <c r="F7" i="31" s="1"/>
  <c r="N8" i="31" l="1"/>
  <c r="O8" i="31" s="1"/>
  <c r="N9" i="31"/>
  <c r="O9" i="31" s="1"/>
  <c r="O19" i="31"/>
  <c r="O27" i="31"/>
  <c r="O11" i="31" l="1"/>
  <c r="O29" i="31" s="1"/>
  <c r="K10" i="62" l="1"/>
  <c r="H10" i="62"/>
  <c r="I10" i="62" s="1"/>
  <c r="E10" i="62"/>
  <c r="K9" i="62"/>
  <c r="H9" i="62"/>
  <c r="I9" i="62" s="1"/>
  <c r="L9" i="62" s="1"/>
  <c r="E9" i="62"/>
  <c r="M9" i="62" l="1"/>
  <c r="N9" i="62" s="1"/>
  <c r="M10" i="62"/>
  <c r="N10" i="62" s="1"/>
  <c r="K20" i="8" l="1"/>
  <c r="H20" i="8"/>
  <c r="L20" i="8" s="1"/>
  <c r="E20" i="8"/>
  <c r="K12" i="8"/>
  <c r="H12" i="8"/>
  <c r="I12" i="8" s="1"/>
  <c r="L12" i="8" s="1"/>
  <c r="K8" i="8"/>
  <c r="H8" i="8"/>
  <c r="I8" i="8" s="1"/>
  <c r="L8" i="8" s="1"/>
  <c r="K29" i="8"/>
  <c r="H29" i="8"/>
  <c r="K28" i="8"/>
  <c r="H28" i="8"/>
  <c r="L28" i="8" s="1"/>
  <c r="K27" i="8"/>
  <c r="M27" i="8" s="1"/>
  <c r="N27" i="8" s="1"/>
  <c r="H27" i="8"/>
  <c r="K21" i="8"/>
  <c r="H21" i="8"/>
  <c r="E21" i="8"/>
  <c r="K19" i="8"/>
  <c r="M19" i="8" s="1"/>
  <c r="N19" i="8" s="1"/>
  <c r="H19" i="8"/>
  <c r="E19" i="8"/>
  <c r="K10" i="8"/>
  <c r="H10" i="8"/>
  <c r="I10" i="8" s="1"/>
  <c r="L10" i="8" s="1"/>
  <c r="K9" i="8"/>
  <c r="H9" i="8"/>
  <c r="I9" i="8" s="1"/>
  <c r="K7" i="8"/>
  <c r="M7" i="8" s="1"/>
  <c r="N7" i="8" s="1"/>
  <c r="H7" i="8"/>
  <c r="I7" i="8" s="1"/>
  <c r="K26" i="34"/>
  <c r="M26" i="34" s="1"/>
  <c r="N26" i="34" s="1"/>
  <c r="H26" i="34"/>
  <c r="E26" i="34"/>
  <c r="K25" i="34"/>
  <c r="M25" i="34" s="1"/>
  <c r="N25" i="34" s="1"/>
  <c r="H25" i="34"/>
  <c r="E25" i="34"/>
  <c r="K24" i="34"/>
  <c r="M24" i="34" s="1"/>
  <c r="N24" i="34" s="1"/>
  <c r="H24" i="34"/>
  <c r="E24" i="34"/>
  <c r="K18" i="34"/>
  <c r="M18" i="34" s="1"/>
  <c r="N18" i="34" s="1"/>
  <c r="H18" i="34"/>
  <c r="E18" i="34"/>
  <c r="K17" i="34"/>
  <c r="M17" i="34" s="1"/>
  <c r="N17" i="34" s="1"/>
  <c r="H17" i="34"/>
  <c r="E17" i="34"/>
  <c r="K16" i="34"/>
  <c r="M16" i="34" s="1"/>
  <c r="N16" i="34" s="1"/>
  <c r="H16" i="34"/>
  <c r="E16" i="34"/>
  <c r="K10" i="34"/>
  <c r="M10" i="34" s="1"/>
  <c r="N10" i="34" s="1"/>
  <c r="H10" i="34"/>
  <c r="I10" i="34" s="1"/>
  <c r="E10" i="34"/>
  <c r="K9" i="34"/>
  <c r="M9" i="34" s="1"/>
  <c r="N9" i="34" s="1"/>
  <c r="H9" i="34"/>
  <c r="I9" i="34" s="1"/>
  <c r="E9" i="34"/>
  <c r="K8" i="34"/>
  <c r="H8" i="34"/>
  <c r="I8" i="34" s="1"/>
  <c r="E8" i="34"/>
  <c r="K7" i="34"/>
  <c r="M7" i="34" s="1"/>
  <c r="N7" i="34" s="1"/>
  <c r="H7" i="34"/>
  <c r="I7" i="34" s="1"/>
  <c r="E7" i="34"/>
  <c r="N27" i="34" l="1"/>
  <c r="M28" i="8"/>
  <c r="N28" i="8" s="1"/>
  <c r="M20" i="8"/>
  <c r="N20" i="8" s="1"/>
  <c r="M29" i="8"/>
  <c r="N29" i="8" s="1"/>
  <c r="M21" i="8"/>
  <c r="N21" i="8" s="1"/>
  <c r="M8" i="8"/>
  <c r="N8" i="8" s="1"/>
  <c r="M12" i="8"/>
  <c r="N12" i="8" s="1"/>
  <c r="M10" i="8"/>
  <c r="N10" i="8" s="1"/>
  <c r="M9" i="8"/>
  <c r="N9" i="8" s="1"/>
  <c r="M8" i="34"/>
  <c r="N8" i="34" s="1"/>
  <c r="N11" i="34" s="1"/>
  <c r="N19" i="34"/>
  <c r="N30" i="8" l="1"/>
  <c r="F14" i="32" s="1"/>
  <c r="N29" i="34"/>
  <c r="N22" i="8"/>
  <c r="E14" i="32" s="1"/>
  <c r="N14" i="8"/>
  <c r="D14" i="32" s="1"/>
  <c r="N32" i="8" l="1"/>
  <c r="K26" i="25"/>
  <c r="M26" i="25" s="1"/>
  <c r="N26" i="25" s="1"/>
  <c r="H26" i="25"/>
  <c r="K25" i="25"/>
  <c r="M25" i="25" s="1"/>
  <c r="N25" i="25" s="1"/>
  <c r="H25" i="25"/>
  <c r="K24" i="25"/>
  <c r="M24" i="25" s="1"/>
  <c r="N24" i="25" s="1"/>
  <c r="H24" i="25"/>
  <c r="K18" i="25"/>
  <c r="M18" i="25" s="1"/>
  <c r="N18" i="25" s="1"/>
  <c r="H18" i="25"/>
  <c r="E18" i="25"/>
  <c r="K17" i="25"/>
  <c r="M17" i="25" s="1"/>
  <c r="N17" i="25" s="1"/>
  <c r="H17" i="25"/>
  <c r="E17" i="25"/>
  <c r="K16" i="25"/>
  <c r="M16" i="25" s="1"/>
  <c r="N16" i="25" s="1"/>
  <c r="H16" i="25"/>
  <c r="E16" i="25"/>
  <c r="K10" i="25"/>
  <c r="H10" i="25"/>
  <c r="I10" i="25" s="1"/>
  <c r="L10" i="25" s="1"/>
  <c r="E10" i="25"/>
  <c r="K7" i="25"/>
  <c r="M7" i="25" s="1"/>
  <c r="N7" i="25" s="1"/>
  <c r="H7" i="25"/>
  <c r="I7" i="25" s="1"/>
  <c r="M10" i="25" l="1"/>
  <c r="N10" i="25" s="1"/>
  <c r="N19" i="25"/>
  <c r="N27" i="25"/>
  <c r="N11" i="25" l="1"/>
  <c r="N29" i="25" s="1"/>
  <c r="M8" i="6" l="1"/>
  <c r="K7" i="6"/>
  <c r="H9" i="47" l="1"/>
  <c r="I9" i="47" s="1"/>
  <c r="H8" i="47"/>
  <c r="I8" i="47" s="1"/>
  <c r="E10" i="47" l="1"/>
  <c r="K24" i="6" l="1"/>
  <c r="H24" i="6"/>
  <c r="L24" i="6" s="1"/>
  <c r="E24" i="6"/>
  <c r="K23" i="6"/>
  <c r="H23" i="6"/>
  <c r="L23" i="6" s="1"/>
  <c r="E23" i="6"/>
  <c r="M24" i="6" l="1"/>
  <c r="N24" i="6" s="1"/>
  <c r="M23" i="6"/>
  <c r="N23" i="6" s="1"/>
  <c r="H9" i="40" l="1"/>
  <c r="I9" i="40" s="1"/>
  <c r="E9" i="40"/>
  <c r="M9" i="40" l="1"/>
  <c r="N9" i="40" s="1"/>
  <c r="H8" i="6" l="1"/>
  <c r="I8" i="6" s="1"/>
  <c r="E8" i="6"/>
  <c r="H7" i="6"/>
  <c r="I7" i="6" s="1"/>
  <c r="M7" i="6" s="1"/>
  <c r="E7" i="6"/>
  <c r="N8" i="6" l="1"/>
  <c r="N7" i="6"/>
  <c r="K9" i="57" l="1"/>
  <c r="H9" i="57"/>
  <c r="I9" i="57" s="1"/>
  <c r="L9" i="57" s="1"/>
  <c r="M9" i="57" l="1"/>
  <c r="N9" i="57" s="1"/>
  <c r="K9" i="38" l="1"/>
  <c r="H9" i="38"/>
  <c r="I9" i="38" s="1"/>
  <c r="E9" i="38"/>
  <c r="M9" i="38" l="1"/>
  <c r="N9" i="38" s="1"/>
  <c r="K10" i="47" l="1"/>
  <c r="H10" i="47"/>
  <c r="I10" i="47" s="1"/>
  <c r="M10" i="47" l="1"/>
  <c r="N10" i="47" s="1"/>
  <c r="K25" i="6" l="1"/>
  <c r="H25" i="6"/>
  <c r="E25" i="6"/>
  <c r="M25" i="6" l="1"/>
  <c r="N25" i="6" s="1"/>
  <c r="K25" i="47"/>
  <c r="H25" i="47"/>
  <c r="I25" i="47" s="1"/>
  <c r="M25" i="47" l="1"/>
  <c r="N25" i="47" s="1"/>
  <c r="K18" i="10" l="1"/>
  <c r="H18" i="10"/>
  <c r="L18" i="10" s="1"/>
  <c r="E18" i="10"/>
  <c r="K11" i="10"/>
  <c r="H11" i="10"/>
  <c r="I11" i="10" s="1"/>
  <c r="L11" i="10" s="1"/>
  <c r="E11" i="10"/>
  <c r="K10" i="10"/>
  <c r="H10" i="10"/>
  <c r="I10" i="10" s="1"/>
  <c r="E10" i="10"/>
  <c r="M18" i="10" l="1"/>
  <c r="N18" i="10" s="1"/>
  <c r="M10" i="10"/>
  <c r="M11" i="10"/>
  <c r="N11" i="10" s="1"/>
  <c r="K26" i="47" l="1"/>
  <c r="K16" i="6" l="1"/>
  <c r="H16" i="6"/>
  <c r="E16" i="6"/>
  <c r="K15" i="6"/>
  <c r="H15" i="6"/>
  <c r="L15" i="6" s="1"/>
  <c r="E15" i="6"/>
  <c r="M16" i="6" l="1"/>
  <c r="N16" i="6" s="1"/>
  <c r="M15" i="6"/>
  <c r="N15" i="6" s="1"/>
  <c r="H26" i="47"/>
  <c r="I26" i="47" s="1"/>
  <c r="K9" i="10" l="1"/>
  <c r="H9" i="10"/>
  <c r="I9" i="10" s="1"/>
  <c r="E9" i="10"/>
  <c r="M9" i="10" l="1"/>
  <c r="N9" i="10" s="1"/>
  <c r="K8" i="40"/>
  <c r="H8" i="40"/>
  <c r="E8" i="40"/>
  <c r="I8" i="40" l="1"/>
  <c r="M8" i="40"/>
  <c r="N8" i="40" s="1"/>
  <c r="K18" i="38" l="1"/>
  <c r="H18" i="38"/>
  <c r="E18" i="38"/>
  <c r="M18" i="38" l="1"/>
  <c r="N18" i="38" s="1"/>
  <c r="M9" i="47" l="1"/>
  <c r="M8" i="47"/>
  <c r="K9" i="36" l="1"/>
  <c r="K8" i="36"/>
  <c r="H9" i="36" l="1"/>
  <c r="I9" i="36" s="1"/>
  <c r="E9" i="36"/>
  <c r="M9" i="36" l="1"/>
  <c r="N9" i="36" s="1"/>
  <c r="K9" i="60"/>
  <c r="M9" i="60" s="1"/>
  <c r="N9" i="60" s="1"/>
  <c r="H9" i="60"/>
  <c r="I9" i="60" s="1"/>
  <c r="E9" i="60"/>
  <c r="N9" i="47" l="1"/>
  <c r="N8" i="47"/>
  <c r="K8" i="37" l="1"/>
  <c r="K27" i="38" l="1"/>
  <c r="H27" i="38"/>
  <c r="K17" i="36"/>
  <c r="I25" i="28"/>
  <c r="I24" i="28"/>
  <c r="I23" i="28"/>
  <c r="I17" i="28"/>
  <c r="I16" i="28"/>
  <c r="I15" i="28"/>
  <c r="I9" i="28"/>
  <c r="J9" i="28" s="1"/>
  <c r="I8" i="28"/>
  <c r="J8" i="28" s="1"/>
  <c r="I7" i="28"/>
  <c r="J7" i="28" s="1"/>
  <c r="M27" i="38" l="1"/>
  <c r="N27" i="38" s="1"/>
  <c r="K16" i="51" l="1"/>
  <c r="M16" i="51" s="1"/>
  <c r="N16" i="51" s="1"/>
  <c r="H16" i="51"/>
  <c r="E16" i="51"/>
  <c r="K8" i="29" l="1"/>
  <c r="M8" i="29" s="1"/>
  <c r="N8" i="29" s="1"/>
  <c r="H8" i="29"/>
  <c r="I8" i="29" s="1"/>
  <c r="E8" i="29"/>
  <c r="K17" i="40" l="1"/>
  <c r="K9" i="64" l="1"/>
  <c r="M9" i="64" s="1"/>
  <c r="N9" i="64" s="1"/>
  <c r="H9" i="64"/>
  <c r="I9" i="64" s="1"/>
  <c r="E9" i="64"/>
  <c r="K9" i="37" l="1"/>
  <c r="M9" i="37" s="1"/>
  <c r="N9" i="37" s="1"/>
  <c r="H9" i="37"/>
  <c r="I9" i="37" s="1"/>
  <c r="E9" i="37"/>
  <c r="K8" i="10" l="1"/>
  <c r="H8" i="10"/>
  <c r="I8" i="10" s="1"/>
  <c r="E8" i="10"/>
  <c r="M8" i="10" l="1"/>
  <c r="M8" i="37"/>
  <c r="N8" i="37" s="1"/>
  <c r="H8" i="37"/>
  <c r="I8" i="37" s="1"/>
  <c r="E8" i="37"/>
  <c r="K16" i="37"/>
  <c r="H16" i="37"/>
  <c r="E16" i="37"/>
  <c r="M16" i="37" l="1"/>
  <c r="N16" i="37" s="1"/>
  <c r="K9" i="29" l="1"/>
  <c r="H9" i="29"/>
  <c r="I9" i="29" s="1"/>
  <c r="E9" i="29"/>
  <c r="M9" i="29" l="1"/>
  <c r="N9" i="29" s="1"/>
  <c r="K8" i="60"/>
  <c r="H8" i="60"/>
  <c r="E8" i="60"/>
  <c r="K24" i="47"/>
  <c r="M24" i="47" s="1"/>
  <c r="N24" i="47" s="1"/>
  <c r="H24" i="47"/>
  <c r="E24" i="47"/>
  <c r="K7" i="47"/>
  <c r="M7" i="47" s="1"/>
  <c r="N7" i="47" s="1"/>
  <c r="H7" i="47"/>
  <c r="I7" i="47" s="1"/>
  <c r="M26" i="47" l="1"/>
  <c r="I8" i="60"/>
  <c r="M8" i="60"/>
  <c r="N8" i="60" s="1"/>
  <c r="H8" i="36"/>
  <c r="I8" i="36" s="1"/>
  <c r="E8" i="36"/>
  <c r="K26" i="64"/>
  <c r="M26" i="64" s="1"/>
  <c r="N26" i="64" s="1"/>
  <c r="H26" i="64"/>
  <c r="K25" i="64"/>
  <c r="M25" i="64" s="1"/>
  <c r="N25" i="64" s="1"/>
  <c r="H25" i="64"/>
  <c r="K24" i="64"/>
  <c r="M24" i="64" s="1"/>
  <c r="N24" i="64" s="1"/>
  <c r="H24" i="64"/>
  <c r="K18" i="64"/>
  <c r="M18" i="64" s="1"/>
  <c r="N18" i="64" s="1"/>
  <c r="H18" i="64"/>
  <c r="E18" i="64"/>
  <c r="K17" i="64"/>
  <c r="M17" i="64" s="1"/>
  <c r="N17" i="64" s="1"/>
  <c r="H17" i="64"/>
  <c r="E17" i="64"/>
  <c r="K16" i="64"/>
  <c r="M16" i="64" s="1"/>
  <c r="N16" i="64" s="1"/>
  <c r="H16" i="64"/>
  <c r="E16" i="64"/>
  <c r="K10" i="64"/>
  <c r="M10" i="64" s="1"/>
  <c r="N10" i="64" s="1"/>
  <c r="H10" i="64"/>
  <c r="I10" i="64" s="1"/>
  <c r="K8" i="64"/>
  <c r="M8" i="64" s="1"/>
  <c r="N8" i="64" s="1"/>
  <c r="H8" i="64"/>
  <c r="I8" i="64" s="1"/>
  <c r="E8" i="64"/>
  <c r="K7" i="64"/>
  <c r="M7" i="64" s="1"/>
  <c r="N7" i="64" s="1"/>
  <c r="H7" i="64"/>
  <c r="I7" i="64" s="1"/>
  <c r="N26" i="47" l="1"/>
  <c r="N27" i="47" s="1"/>
  <c r="F7" i="32" s="1"/>
  <c r="N19" i="47"/>
  <c r="E7" i="32" s="1"/>
  <c r="N11" i="47"/>
  <c r="D7" i="32" s="1"/>
  <c r="N19" i="64"/>
  <c r="E35" i="32" s="1"/>
  <c r="M8" i="36"/>
  <c r="N8" i="36" s="1"/>
  <c r="N11" i="64"/>
  <c r="D35" i="32" s="1"/>
  <c r="N27" i="64"/>
  <c r="N29" i="64" l="1"/>
  <c r="F35" i="32"/>
  <c r="N29" i="47"/>
  <c r="K9" i="33" l="1"/>
  <c r="H9" i="33"/>
  <c r="I9" i="33" s="1"/>
  <c r="L9" i="33" s="1"/>
  <c r="E9" i="33"/>
  <c r="K10" i="38"/>
  <c r="H10" i="38"/>
  <c r="I10" i="38" s="1"/>
  <c r="E10" i="38"/>
  <c r="M9" i="33" l="1"/>
  <c r="N9" i="33" s="1"/>
  <c r="M10" i="38"/>
  <c r="N10" i="38" s="1"/>
  <c r="K10" i="33" l="1"/>
  <c r="H10" i="33"/>
  <c r="I10" i="33" s="1"/>
  <c r="E10" i="33"/>
  <c r="M10" i="33" l="1"/>
  <c r="N10" i="33" s="1"/>
  <c r="K17" i="38" l="1"/>
  <c r="H17" i="38"/>
  <c r="L17" i="38" s="1"/>
  <c r="E17" i="38"/>
  <c r="M17" i="38" l="1"/>
  <c r="N17" i="38" s="1"/>
  <c r="K8" i="45"/>
  <c r="H8" i="45"/>
  <c r="I8" i="45" s="1"/>
  <c r="E8" i="45"/>
  <c r="M8" i="45" l="1"/>
  <c r="N8" i="45" s="1"/>
  <c r="H35" i="32"/>
  <c r="K23" i="61" l="1"/>
  <c r="M23" i="61" s="1"/>
  <c r="N23" i="61" s="1"/>
  <c r="H23" i="61"/>
  <c r="K22" i="61"/>
  <c r="M22" i="61" s="1"/>
  <c r="N22" i="61" s="1"/>
  <c r="H22" i="61"/>
  <c r="K16" i="61"/>
  <c r="H16" i="61"/>
  <c r="E16" i="61"/>
  <c r="K15" i="61"/>
  <c r="M15" i="61" s="1"/>
  <c r="N15" i="61" s="1"/>
  <c r="H15" i="61"/>
  <c r="E15" i="61"/>
  <c r="K9" i="61"/>
  <c r="M9" i="61" s="1"/>
  <c r="N9" i="61" s="1"/>
  <c r="H9" i="61"/>
  <c r="I9" i="61" s="1"/>
  <c r="K8" i="61"/>
  <c r="H8" i="61"/>
  <c r="I8" i="61" s="1"/>
  <c r="E8" i="61"/>
  <c r="K7" i="61"/>
  <c r="M7" i="61" s="1"/>
  <c r="N7" i="61" s="1"/>
  <c r="H7" i="61"/>
  <c r="I7" i="61" s="1"/>
  <c r="K26" i="62"/>
  <c r="M26" i="62" s="1"/>
  <c r="N26" i="62" s="1"/>
  <c r="H26" i="62"/>
  <c r="K25" i="62"/>
  <c r="M25" i="62" s="1"/>
  <c r="N25" i="62" s="1"/>
  <c r="H25" i="62"/>
  <c r="K24" i="62"/>
  <c r="M24" i="62" s="1"/>
  <c r="N24" i="62" s="1"/>
  <c r="H24" i="62"/>
  <c r="K18" i="62"/>
  <c r="M18" i="62" s="1"/>
  <c r="N18" i="62" s="1"/>
  <c r="H18" i="62"/>
  <c r="E18" i="62"/>
  <c r="K17" i="62"/>
  <c r="H17" i="62"/>
  <c r="L17" i="62" s="1"/>
  <c r="E17" i="62"/>
  <c r="K16" i="62"/>
  <c r="M16" i="62" s="1"/>
  <c r="N16" i="62" s="1"/>
  <c r="H16" i="62"/>
  <c r="E16" i="62"/>
  <c r="K8" i="62"/>
  <c r="M8" i="62" s="1"/>
  <c r="N8" i="62" s="1"/>
  <c r="H8" i="62"/>
  <c r="I8" i="62" s="1"/>
  <c r="E8" i="62"/>
  <c r="K7" i="62"/>
  <c r="M7" i="62" s="1"/>
  <c r="N7" i="62" s="1"/>
  <c r="H7" i="62"/>
  <c r="I7" i="62" s="1"/>
  <c r="M17" i="62" l="1"/>
  <c r="N17" i="62" s="1"/>
  <c r="M16" i="61"/>
  <c r="N16" i="61" s="1"/>
  <c r="N17" i="61" s="1"/>
  <c r="E24" i="32" s="1"/>
  <c r="N11" i="62"/>
  <c r="D22" i="32" s="1"/>
  <c r="N27" i="62"/>
  <c r="F22" i="32" s="1"/>
  <c r="M8" i="61"/>
  <c r="N8" i="61" s="1"/>
  <c r="N10" i="61" s="1"/>
  <c r="D24" i="32" s="1"/>
  <c r="N24" i="61"/>
  <c r="F24" i="32" s="1"/>
  <c r="N19" i="62"/>
  <c r="E22" i="32" s="1"/>
  <c r="H24" i="32" l="1"/>
  <c r="G22" i="32"/>
  <c r="N29" i="62"/>
  <c r="N26" i="61"/>
  <c r="K25" i="60" l="1"/>
  <c r="M25" i="60" s="1"/>
  <c r="N25" i="60" s="1"/>
  <c r="H25" i="60"/>
  <c r="K24" i="60"/>
  <c r="M24" i="60" s="1"/>
  <c r="N24" i="60" s="1"/>
  <c r="H24" i="60"/>
  <c r="K23" i="60"/>
  <c r="M23" i="60" s="1"/>
  <c r="N23" i="60" s="1"/>
  <c r="H23" i="60"/>
  <c r="K17" i="60"/>
  <c r="M17" i="60" s="1"/>
  <c r="N17" i="60" s="1"/>
  <c r="H17" i="60"/>
  <c r="K16" i="60"/>
  <c r="M16" i="60" s="1"/>
  <c r="N16" i="60" s="1"/>
  <c r="H16" i="60"/>
  <c r="K15" i="60"/>
  <c r="M15" i="60" s="1"/>
  <c r="N15" i="60" s="1"/>
  <c r="H15" i="60"/>
  <c r="E15" i="60"/>
  <c r="K7" i="60"/>
  <c r="M7" i="60" s="1"/>
  <c r="N7" i="60" s="1"/>
  <c r="H7" i="60"/>
  <c r="I7" i="60" s="1"/>
  <c r="N18" i="60" l="1"/>
  <c r="E34" i="32" s="1"/>
  <c r="N10" i="60"/>
  <c r="N26" i="60"/>
  <c r="F34" i="32" s="1"/>
  <c r="N28" i="60" l="1"/>
  <c r="D34" i="32"/>
  <c r="H34" i="32" s="1"/>
  <c r="E10" i="45" l="1"/>
  <c r="K7" i="35" l="1"/>
  <c r="M7" i="35" s="1"/>
  <c r="N7" i="35" s="1"/>
  <c r="H7" i="35"/>
  <c r="I7" i="35" s="1"/>
  <c r="E7" i="35"/>
  <c r="K8" i="57" l="1"/>
  <c r="H8" i="57"/>
  <c r="I8" i="57" l="1"/>
  <c r="L8" i="57" s="1"/>
  <c r="M8" i="57"/>
  <c r="N8" i="57" s="1"/>
  <c r="E9" i="45"/>
  <c r="K24" i="59" l="1"/>
  <c r="M24" i="59" s="1"/>
  <c r="N24" i="59" s="1"/>
  <c r="H24" i="59"/>
  <c r="K23" i="59"/>
  <c r="M23" i="59" s="1"/>
  <c r="N23" i="59" s="1"/>
  <c r="H23" i="59"/>
  <c r="K17" i="59"/>
  <c r="M17" i="59" s="1"/>
  <c r="N17" i="59" s="1"/>
  <c r="H17" i="59"/>
  <c r="E17" i="59"/>
  <c r="K16" i="59"/>
  <c r="M16" i="59" s="1"/>
  <c r="N16" i="59" s="1"/>
  <c r="H16" i="59"/>
  <c r="E16" i="59"/>
  <c r="K15" i="59"/>
  <c r="M15" i="59" s="1"/>
  <c r="N15" i="59" s="1"/>
  <c r="H15" i="59"/>
  <c r="E15" i="59"/>
  <c r="K9" i="59"/>
  <c r="M9" i="59" s="1"/>
  <c r="N9" i="59" s="1"/>
  <c r="H9" i="59"/>
  <c r="I9" i="59" s="1"/>
  <c r="H8" i="59"/>
  <c r="I8" i="59" s="1"/>
  <c r="E8" i="59"/>
  <c r="K7" i="59"/>
  <c r="M7" i="59" s="1"/>
  <c r="N7" i="59" s="1"/>
  <c r="H7" i="59"/>
  <c r="I7" i="59" s="1"/>
  <c r="M8" i="59" l="1"/>
  <c r="N8" i="59" s="1"/>
  <c r="N10" i="59" s="1"/>
  <c r="D33" i="32" s="1"/>
  <c r="N18" i="59"/>
  <c r="E33" i="32" s="1"/>
  <c r="N25" i="59"/>
  <c r="F33" i="32" s="1"/>
  <c r="H33" i="32" l="1"/>
  <c r="N27" i="59"/>
  <c r="K25" i="57" l="1"/>
  <c r="H25" i="57"/>
  <c r="L25" i="57" s="1"/>
  <c r="K24" i="57"/>
  <c r="M24" i="57" s="1"/>
  <c r="N24" i="57" s="1"/>
  <c r="H24" i="57"/>
  <c r="K18" i="57"/>
  <c r="M18" i="57" s="1"/>
  <c r="N18" i="57" s="1"/>
  <c r="H18" i="57"/>
  <c r="E18" i="57"/>
  <c r="K17" i="57"/>
  <c r="H17" i="57"/>
  <c r="I17" i="57" s="1"/>
  <c r="L17" i="57" s="1"/>
  <c r="E17" i="57"/>
  <c r="K16" i="57"/>
  <c r="M16" i="57" s="1"/>
  <c r="N16" i="57" s="1"/>
  <c r="H16" i="57"/>
  <c r="E16" i="57"/>
  <c r="K7" i="57"/>
  <c r="M7" i="57" s="1"/>
  <c r="N7" i="57" s="1"/>
  <c r="H7" i="57"/>
  <c r="I7" i="57" s="1"/>
  <c r="M25" i="57" l="1"/>
  <c r="N25" i="57" s="1"/>
  <c r="N26" i="57" s="1"/>
  <c r="F21" i="32" s="1"/>
  <c r="M17" i="57"/>
  <c r="N17" i="57" s="1"/>
  <c r="N19" i="57" s="1"/>
  <c r="E21" i="32" s="1"/>
  <c r="N11" i="57"/>
  <c r="D21" i="32" s="1"/>
  <c r="G21" i="32" l="1"/>
  <c r="N28" i="57"/>
  <c r="K8" i="38" l="1"/>
  <c r="H8" i="38"/>
  <c r="E8" i="38"/>
  <c r="I8" i="38" l="1"/>
  <c r="M8" i="38"/>
  <c r="N8" i="38" s="1"/>
  <c r="E14" i="6" l="1"/>
  <c r="H14" i="6"/>
  <c r="K14" i="6"/>
  <c r="M14" i="6" s="1"/>
  <c r="E22" i="6"/>
  <c r="H22" i="6"/>
  <c r="K22" i="6"/>
  <c r="M22" i="6" s="1"/>
  <c r="K24" i="53" l="1"/>
  <c r="M24" i="53" s="1"/>
  <c r="N24" i="53" s="1"/>
  <c r="H24" i="53"/>
  <c r="K23" i="53"/>
  <c r="M23" i="53" s="1"/>
  <c r="N23" i="53" s="1"/>
  <c r="H23" i="53"/>
  <c r="K22" i="53"/>
  <c r="M22" i="53" s="1"/>
  <c r="N22" i="53" s="1"/>
  <c r="H22" i="53"/>
  <c r="K16" i="53"/>
  <c r="H16" i="53"/>
  <c r="E16" i="53"/>
  <c r="K15" i="53"/>
  <c r="M15" i="53" s="1"/>
  <c r="N15" i="53" s="1"/>
  <c r="H15" i="53"/>
  <c r="E15" i="53"/>
  <c r="K9" i="53"/>
  <c r="M9" i="53" s="1"/>
  <c r="N9" i="53" s="1"/>
  <c r="H9" i="53"/>
  <c r="I9" i="53" s="1"/>
  <c r="E9" i="53"/>
  <c r="K8" i="53"/>
  <c r="M8" i="53" s="1"/>
  <c r="N8" i="53" s="1"/>
  <c r="H8" i="53"/>
  <c r="I8" i="53" s="1"/>
  <c r="E8" i="53"/>
  <c r="K7" i="53"/>
  <c r="M7" i="53" s="1"/>
  <c r="N7" i="53" s="1"/>
  <c r="H7" i="53"/>
  <c r="I7" i="53" s="1"/>
  <c r="M16" i="53" l="1"/>
  <c r="N16" i="53" s="1"/>
  <c r="N25" i="53"/>
  <c r="F31" i="32" s="1"/>
  <c r="N10" i="53"/>
  <c r="D31" i="32" s="1"/>
  <c r="N17" i="53" l="1"/>
  <c r="E31" i="32" l="1"/>
  <c r="H31" i="32" s="1"/>
  <c r="N27" i="53"/>
  <c r="K8" i="51"/>
  <c r="M8" i="51" s="1"/>
  <c r="N8" i="51" s="1"/>
  <c r="H8" i="51"/>
  <c r="I8" i="51" s="1"/>
  <c r="L8" i="51" s="1"/>
  <c r="E8" i="51"/>
  <c r="E8" i="48" l="1"/>
  <c r="H8" i="48"/>
  <c r="I8" i="48" s="1"/>
  <c r="K8" i="48"/>
  <c r="M8" i="48" s="1"/>
  <c r="N8" i="48" s="1"/>
  <c r="K26" i="36" l="1"/>
  <c r="M26" i="36" s="1"/>
  <c r="N26" i="36" s="1"/>
  <c r="H26" i="36"/>
  <c r="K25" i="36"/>
  <c r="M25" i="36" s="1"/>
  <c r="N25" i="36" s="1"/>
  <c r="H25" i="36"/>
  <c r="K24" i="36"/>
  <c r="M24" i="36" s="1"/>
  <c r="N24" i="36" s="1"/>
  <c r="H24" i="36"/>
  <c r="K18" i="36"/>
  <c r="M18" i="36" s="1"/>
  <c r="N18" i="36" s="1"/>
  <c r="H18" i="36"/>
  <c r="E18" i="36"/>
  <c r="M17" i="36"/>
  <c r="N17" i="36" s="1"/>
  <c r="H17" i="36"/>
  <c r="E17" i="36"/>
  <c r="K16" i="36"/>
  <c r="M16" i="36" s="1"/>
  <c r="N16" i="36" s="1"/>
  <c r="H16" i="36"/>
  <c r="E16" i="36"/>
  <c r="K10" i="36"/>
  <c r="H10" i="36"/>
  <c r="I10" i="36" s="1"/>
  <c r="E10" i="36"/>
  <c r="K7" i="36"/>
  <c r="M7" i="36" s="1"/>
  <c r="N7" i="36" s="1"/>
  <c r="H7" i="36"/>
  <c r="I7" i="36" s="1"/>
  <c r="M10" i="36" l="1"/>
  <c r="N10" i="36" s="1"/>
  <c r="N19" i="36"/>
  <c r="E15" i="32" s="1"/>
  <c r="N27" i="36"/>
  <c r="F15" i="32" s="1"/>
  <c r="N11" i="36" l="1"/>
  <c r="D15" i="32" s="1"/>
  <c r="G15" i="32" s="1"/>
  <c r="N29" i="36" l="1"/>
  <c r="K25" i="51"/>
  <c r="M25" i="51" s="1"/>
  <c r="N25" i="51" s="1"/>
  <c r="H25" i="51"/>
  <c r="K24" i="51"/>
  <c r="M24" i="51" s="1"/>
  <c r="N24" i="51" s="1"/>
  <c r="H24" i="51"/>
  <c r="K23" i="51"/>
  <c r="M23" i="51" s="1"/>
  <c r="N23" i="51" s="1"/>
  <c r="H23" i="51"/>
  <c r="K17" i="51"/>
  <c r="M17" i="51" s="1"/>
  <c r="N17" i="51" s="1"/>
  <c r="H17" i="51"/>
  <c r="E17" i="51"/>
  <c r="K15" i="51"/>
  <c r="M15" i="51" s="1"/>
  <c r="N15" i="51" s="1"/>
  <c r="H15" i="51"/>
  <c r="E15" i="51"/>
  <c r="K9" i="51"/>
  <c r="M9" i="51" s="1"/>
  <c r="N9" i="51" s="1"/>
  <c r="H9" i="51"/>
  <c r="I9" i="51" s="1"/>
  <c r="E9" i="51"/>
  <c r="K7" i="51"/>
  <c r="M7" i="51" s="1"/>
  <c r="N7" i="51" s="1"/>
  <c r="H7" i="51"/>
  <c r="I7" i="51" s="1"/>
  <c r="N10" i="51" l="1"/>
  <c r="D30" i="32" s="1"/>
  <c r="N26" i="51"/>
  <c r="F30" i="32" s="1"/>
  <c r="N18" i="51"/>
  <c r="E30" i="32" s="1"/>
  <c r="H30" i="32" l="1"/>
  <c r="N28" i="51"/>
  <c r="N14" i="6" l="1"/>
  <c r="N17" i="6" s="1"/>
  <c r="K9" i="39" l="1"/>
  <c r="M9" i="39" s="1"/>
  <c r="N9" i="39" s="1"/>
  <c r="H9" i="39"/>
  <c r="I9" i="39" s="1"/>
  <c r="K10" i="39" l="1"/>
  <c r="M10" i="39" s="1"/>
  <c r="N10" i="39" s="1"/>
  <c r="H10" i="39"/>
  <c r="I10" i="39" s="1"/>
  <c r="K26" i="48" l="1"/>
  <c r="M26" i="48" s="1"/>
  <c r="N26" i="48" s="1"/>
  <c r="H26" i="48"/>
  <c r="K25" i="48"/>
  <c r="M25" i="48" s="1"/>
  <c r="N25" i="48" s="1"/>
  <c r="H25" i="48"/>
  <c r="K24" i="48"/>
  <c r="M24" i="48" s="1"/>
  <c r="N24" i="48" s="1"/>
  <c r="H24" i="48"/>
  <c r="K18" i="48"/>
  <c r="M18" i="48" s="1"/>
  <c r="N18" i="48" s="1"/>
  <c r="H18" i="48"/>
  <c r="E18" i="48"/>
  <c r="K17" i="48"/>
  <c r="H17" i="48"/>
  <c r="E17" i="48"/>
  <c r="K16" i="48"/>
  <c r="M16" i="48" s="1"/>
  <c r="N16" i="48" s="1"/>
  <c r="H16" i="48"/>
  <c r="E16" i="48"/>
  <c r="K10" i="48"/>
  <c r="M10" i="48" s="1"/>
  <c r="N10" i="48" s="1"/>
  <c r="H10" i="48"/>
  <c r="I10" i="48" s="1"/>
  <c r="K9" i="48"/>
  <c r="H9" i="48"/>
  <c r="I9" i="48" s="1"/>
  <c r="L9" i="48" s="1"/>
  <c r="E9" i="48"/>
  <c r="K7" i="48"/>
  <c r="M7" i="48" s="1"/>
  <c r="N7" i="48" s="1"/>
  <c r="H7" i="48"/>
  <c r="I7" i="48" s="1"/>
  <c r="M9" i="48" l="1"/>
  <c r="N9" i="48" s="1"/>
  <c r="M17" i="48"/>
  <c r="N17" i="48" s="1"/>
  <c r="N19" i="48" s="1"/>
  <c r="E29" i="32" s="1"/>
  <c r="N11" i="48"/>
  <c r="D29" i="32" s="1"/>
  <c r="N27" i="48"/>
  <c r="F29" i="32" s="1"/>
  <c r="H29" i="32" l="1"/>
  <c r="N29" i="48"/>
  <c r="E18" i="45" l="1"/>
  <c r="F15" i="26" l="1"/>
  <c r="K6" i="35" l="1"/>
  <c r="M6" i="35" s="1"/>
  <c r="N6" i="35" s="1"/>
  <c r="H6" i="35"/>
  <c r="I6" i="35" s="1"/>
  <c r="E6" i="35"/>
  <c r="J7" i="26" l="1"/>
  <c r="L7" i="26" s="1"/>
  <c r="M7" i="26" s="1"/>
  <c r="E7" i="26"/>
  <c r="F7" i="26" s="1"/>
  <c r="G7" i="32" l="1"/>
  <c r="K26" i="45" l="1"/>
  <c r="M26" i="45" s="1"/>
  <c r="N26" i="45" s="1"/>
  <c r="H26" i="45"/>
  <c r="K25" i="45"/>
  <c r="M25" i="45" s="1"/>
  <c r="N25" i="45" s="1"/>
  <c r="H25" i="45"/>
  <c r="K24" i="45"/>
  <c r="M24" i="45" s="1"/>
  <c r="N24" i="45" s="1"/>
  <c r="H24" i="45"/>
  <c r="K18" i="45"/>
  <c r="M18" i="45" s="1"/>
  <c r="N18" i="45" s="1"/>
  <c r="H18" i="45"/>
  <c r="K17" i="45"/>
  <c r="M17" i="45" s="1"/>
  <c r="N17" i="45" s="1"/>
  <c r="H17" i="45"/>
  <c r="E17" i="45"/>
  <c r="K16" i="45"/>
  <c r="M16" i="45" s="1"/>
  <c r="N16" i="45" s="1"/>
  <c r="H16" i="45"/>
  <c r="E16" i="45"/>
  <c r="K10" i="45"/>
  <c r="M10" i="45" s="1"/>
  <c r="N10" i="45" s="1"/>
  <c r="H10" i="45"/>
  <c r="I10" i="45" s="1"/>
  <c r="K9" i="45"/>
  <c r="M9" i="45" s="1"/>
  <c r="N9" i="45" s="1"/>
  <c r="H9" i="45"/>
  <c r="I9" i="45" s="1"/>
  <c r="K7" i="45"/>
  <c r="M7" i="45" s="1"/>
  <c r="N7" i="45" s="1"/>
  <c r="H7" i="45"/>
  <c r="I7" i="45" s="1"/>
  <c r="N19" i="45" l="1"/>
  <c r="E19" i="32" s="1"/>
  <c r="N27" i="45"/>
  <c r="F19" i="32" s="1"/>
  <c r="N11" i="45"/>
  <c r="D19" i="32" s="1"/>
  <c r="G19" i="32" s="1"/>
  <c r="N29" i="45" l="1"/>
  <c r="K23" i="44" l="1"/>
  <c r="M23" i="44" s="1"/>
  <c r="N23" i="44" s="1"/>
  <c r="H23" i="44"/>
  <c r="K22" i="44"/>
  <c r="M22" i="44" s="1"/>
  <c r="N22" i="44" s="1"/>
  <c r="H22" i="44"/>
  <c r="K21" i="44"/>
  <c r="M21" i="44" s="1"/>
  <c r="N21" i="44" s="1"/>
  <c r="H21" i="44"/>
  <c r="K15" i="44"/>
  <c r="M15" i="44" s="1"/>
  <c r="N15" i="44" s="1"/>
  <c r="H15" i="44"/>
  <c r="E15" i="44"/>
  <c r="K13" i="44"/>
  <c r="M13" i="44" s="1"/>
  <c r="N13" i="44" s="1"/>
  <c r="H13" i="44"/>
  <c r="E13" i="44"/>
  <c r="K7" i="44"/>
  <c r="M7" i="44" s="1"/>
  <c r="N7" i="44" s="1"/>
  <c r="H7" i="44"/>
  <c r="I7" i="44" s="1"/>
  <c r="K6" i="44"/>
  <c r="M6" i="44" s="1"/>
  <c r="N6" i="44" s="1"/>
  <c r="H6" i="44"/>
  <c r="I6" i="44" s="1"/>
  <c r="E6" i="44"/>
  <c r="K5" i="44"/>
  <c r="M5" i="44" s="1"/>
  <c r="N5" i="44" s="1"/>
  <c r="H5" i="44"/>
  <c r="I5" i="44" s="1"/>
  <c r="N24" i="44" l="1"/>
  <c r="F28" i="32" s="1"/>
  <c r="N16" i="44"/>
  <c r="E28" i="32" s="1"/>
  <c r="N8" i="44"/>
  <c r="D28" i="32" s="1"/>
  <c r="H28" i="32" l="1"/>
  <c r="N26" i="44"/>
  <c r="H7" i="10" l="1"/>
  <c r="E17" i="40" l="1"/>
  <c r="H17" i="40"/>
  <c r="M17" i="40"/>
  <c r="N17" i="40" s="1"/>
  <c r="J24" i="26" l="1"/>
  <c r="M24" i="26" s="1"/>
  <c r="E24" i="26"/>
  <c r="K18" i="33" l="1"/>
  <c r="M18" i="33" s="1"/>
  <c r="N18" i="33" s="1"/>
  <c r="K19" i="33"/>
  <c r="M19" i="33" s="1"/>
  <c r="N19" i="33" s="1"/>
  <c r="H18" i="33"/>
  <c r="J6" i="26" l="1"/>
  <c r="E6" i="26"/>
  <c r="F6" i="26" s="1"/>
  <c r="L6" i="26" l="1"/>
  <c r="M6" i="26" s="1"/>
  <c r="M9" i="26" l="1"/>
  <c r="D26" i="32" s="1"/>
  <c r="J23" i="26" l="1"/>
  <c r="J25" i="26"/>
  <c r="M25" i="26" s="1"/>
  <c r="E23" i="26"/>
  <c r="L23" i="26" l="1"/>
  <c r="M23" i="26" s="1"/>
  <c r="K26" i="40"/>
  <c r="M26" i="40" s="1"/>
  <c r="N26" i="40" s="1"/>
  <c r="H26" i="40"/>
  <c r="K25" i="40"/>
  <c r="M25" i="40" s="1"/>
  <c r="N25" i="40" s="1"/>
  <c r="H25" i="40"/>
  <c r="K24" i="40"/>
  <c r="M24" i="40" s="1"/>
  <c r="N24" i="40" s="1"/>
  <c r="H24" i="40"/>
  <c r="K18" i="40"/>
  <c r="M18" i="40" s="1"/>
  <c r="N18" i="40" s="1"/>
  <c r="H18" i="40"/>
  <c r="E18" i="40"/>
  <c r="K16" i="40"/>
  <c r="M16" i="40" s="1"/>
  <c r="N16" i="40" s="1"/>
  <c r="H16" i="40"/>
  <c r="E16" i="40"/>
  <c r="K7" i="40"/>
  <c r="M7" i="40" s="1"/>
  <c r="N7" i="40" s="1"/>
  <c r="H7" i="40"/>
  <c r="I7" i="40" s="1"/>
  <c r="N11" i="40" l="1"/>
  <c r="D20" i="32" s="1"/>
  <c r="N19" i="40"/>
  <c r="E20" i="32" s="1"/>
  <c r="N27" i="40"/>
  <c r="F20" i="32" s="1"/>
  <c r="G20" i="32" l="1"/>
  <c r="N29" i="40"/>
  <c r="K26" i="39" l="1"/>
  <c r="M26" i="39" s="1"/>
  <c r="N26" i="39" s="1"/>
  <c r="H26" i="39"/>
  <c r="K25" i="39"/>
  <c r="M25" i="39" s="1"/>
  <c r="N25" i="39" s="1"/>
  <c r="H25" i="39"/>
  <c r="K24" i="39"/>
  <c r="M24" i="39" s="1"/>
  <c r="N24" i="39" s="1"/>
  <c r="H24" i="39"/>
  <c r="K18" i="39"/>
  <c r="M18" i="39" s="1"/>
  <c r="N18" i="39" s="1"/>
  <c r="H18" i="39"/>
  <c r="E18" i="39"/>
  <c r="K17" i="39"/>
  <c r="M17" i="39" s="1"/>
  <c r="N17" i="39" s="1"/>
  <c r="H17" i="39"/>
  <c r="E17" i="39"/>
  <c r="K16" i="39"/>
  <c r="M16" i="39" s="1"/>
  <c r="N16" i="39" s="1"/>
  <c r="H16" i="39"/>
  <c r="E16" i="39"/>
  <c r="K8" i="39"/>
  <c r="M8" i="39" s="1"/>
  <c r="N8" i="39" s="1"/>
  <c r="H8" i="39"/>
  <c r="I8" i="39" s="1"/>
  <c r="N11" i="39" l="1"/>
  <c r="D18" i="32" s="1"/>
  <c r="N19" i="39"/>
  <c r="E18" i="32" s="1"/>
  <c r="N27" i="39"/>
  <c r="F18" i="32" s="1"/>
  <c r="G18" i="32" l="1"/>
  <c r="N29" i="39"/>
  <c r="K16" i="29" l="1"/>
  <c r="K17" i="29"/>
  <c r="M17" i="29" s="1"/>
  <c r="N17" i="29" s="1"/>
  <c r="H16" i="29"/>
  <c r="H17" i="29"/>
  <c r="M16" i="29" l="1"/>
  <c r="N16" i="29" s="1"/>
  <c r="J8" i="26" l="1"/>
  <c r="L8" i="26" s="1"/>
  <c r="M8" i="26" s="1"/>
  <c r="K26" i="38" l="1"/>
  <c r="M26" i="38" s="1"/>
  <c r="N26" i="38" s="1"/>
  <c r="H26" i="38"/>
  <c r="K25" i="38"/>
  <c r="M25" i="38" s="1"/>
  <c r="N25" i="38" s="1"/>
  <c r="H25" i="38"/>
  <c r="K16" i="38"/>
  <c r="M16" i="38" s="1"/>
  <c r="N16" i="38" s="1"/>
  <c r="H16" i="38"/>
  <c r="E16" i="38"/>
  <c r="K7" i="38"/>
  <c r="M7" i="38" s="1"/>
  <c r="N7" i="38" s="1"/>
  <c r="H7" i="38"/>
  <c r="I7" i="38" s="1"/>
  <c r="N11" i="38" l="1"/>
  <c r="D17" i="32" s="1"/>
  <c r="N20" i="38"/>
  <c r="E17" i="32" s="1"/>
  <c r="N28" i="38"/>
  <c r="F17" i="32" s="1"/>
  <c r="E24" i="29"/>
  <c r="E25" i="29"/>
  <c r="E16" i="29"/>
  <c r="E17" i="29"/>
  <c r="E23" i="29"/>
  <c r="E15" i="29"/>
  <c r="E7" i="29"/>
  <c r="E26" i="33"/>
  <c r="E27" i="33"/>
  <c r="E18" i="33"/>
  <c r="E19" i="33"/>
  <c r="E11" i="33"/>
  <c r="E25" i="33"/>
  <c r="E17" i="33"/>
  <c r="E8" i="33"/>
  <c r="G17" i="32" l="1"/>
  <c r="N30" i="38"/>
  <c r="E17" i="10"/>
  <c r="K25" i="37" l="1"/>
  <c r="M25" i="37" s="1"/>
  <c r="N25" i="37" s="1"/>
  <c r="H25" i="37"/>
  <c r="K24" i="37"/>
  <c r="M24" i="37" s="1"/>
  <c r="N24" i="37" s="1"/>
  <c r="H24" i="37"/>
  <c r="K23" i="37"/>
  <c r="M23" i="37" s="1"/>
  <c r="N23" i="37" s="1"/>
  <c r="H23" i="37"/>
  <c r="K15" i="37"/>
  <c r="M15" i="37" s="1"/>
  <c r="N15" i="37" s="1"/>
  <c r="N18" i="37" s="1"/>
  <c r="H15" i="37"/>
  <c r="E15" i="37"/>
  <c r="K7" i="37"/>
  <c r="M7" i="37" s="1"/>
  <c r="N7" i="37" s="1"/>
  <c r="H7" i="37"/>
  <c r="I7" i="37" s="1"/>
  <c r="E16" i="32" l="1"/>
  <c r="N10" i="37"/>
  <c r="D16" i="32" s="1"/>
  <c r="N26" i="37"/>
  <c r="F16" i="32" s="1"/>
  <c r="G16" i="32" l="1"/>
  <c r="N28" i="37"/>
  <c r="K17" i="10" l="1"/>
  <c r="M17" i="10" s="1"/>
  <c r="N17" i="10" s="1"/>
  <c r="N19" i="10" s="1"/>
  <c r="H17" i="10"/>
  <c r="E9" i="32" l="1"/>
  <c r="E15" i="35" l="1"/>
  <c r="E16" i="35"/>
  <c r="E14" i="35"/>
  <c r="J15" i="26" l="1"/>
  <c r="L15" i="26" s="1"/>
  <c r="M15" i="26" s="1"/>
  <c r="J16" i="26"/>
  <c r="L16" i="26" s="1"/>
  <c r="M16" i="26" s="1"/>
  <c r="E15" i="26"/>
  <c r="J21" i="27" l="1"/>
  <c r="K8" i="35" l="1"/>
  <c r="M8" i="35" s="1"/>
  <c r="N8" i="35" s="1"/>
  <c r="H8" i="35"/>
  <c r="I8" i="35" s="1"/>
  <c r="K15" i="35" l="1"/>
  <c r="K16" i="35"/>
  <c r="H15" i="35"/>
  <c r="M15" i="35" l="1"/>
  <c r="N15" i="35" s="1"/>
  <c r="K24" i="35"/>
  <c r="M24" i="35" s="1"/>
  <c r="N24" i="35" s="1"/>
  <c r="H24" i="35"/>
  <c r="H23" i="35"/>
  <c r="L23" i="35" s="1"/>
  <c r="M23" i="35" s="1"/>
  <c r="N23" i="35" s="1"/>
  <c r="K22" i="35"/>
  <c r="M22" i="35" s="1"/>
  <c r="N22" i="35" s="1"/>
  <c r="H22" i="35"/>
  <c r="M16" i="35"/>
  <c r="N16" i="35" s="1"/>
  <c r="H16" i="35"/>
  <c r="K14" i="35"/>
  <c r="M14" i="35" s="1"/>
  <c r="N14" i="35" s="1"/>
  <c r="H14" i="35"/>
  <c r="K5" i="35"/>
  <c r="M5" i="35" s="1"/>
  <c r="N5" i="35" s="1"/>
  <c r="H5" i="35"/>
  <c r="I5" i="35" s="1"/>
  <c r="N25" i="35" l="1"/>
  <c r="F23" i="32" s="1"/>
  <c r="N9" i="35"/>
  <c r="D23" i="32" s="1"/>
  <c r="N17" i="35"/>
  <c r="E23" i="32" s="1"/>
  <c r="G23" i="32" l="1"/>
  <c r="N27" i="35"/>
  <c r="E8" i="32" l="1"/>
  <c r="N9" i="6"/>
  <c r="D10" i="32" l="1"/>
  <c r="K8" i="33" l="1"/>
  <c r="D8" i="32" l="1"/>
  <c r="J6" i="27" l="1"/>
  <c r="L6" i="27" s="1"/>
  <c r="M6" i="27" s="1"/>
  <c r="J7" i="27"/>
  <c r="L7" i="27" s="1"/>
  <c r="M7" i="27" s="1"/>
  <c r="E6" i="27"/>
  <c r="F6" i="27" s="1"/>
  <c r="E7" i="27"/>
  <c r="F7" i="27" s="1"/>
  <c r="K27" i="33"/>
  <c r="M27" i="33" s="1"/>
  <c r="N27" i="33" s="1"/>
  <c r="H27" i="33"/>
  <c r="K26" i="33"/>
  <c r="M26" i="33" s="1"/>
  <c r="N26" i="33" s="1"/>
  <c r="H26" i="33"/>
  <c r="K25" i="33"/>
  <c r="M25" i="33" s="1"/>
  <c r="N25" i="33" s="1"/>
  <c r="H25" i="33"/>
  <c r="H19" i="33"/>
  <c r="K17" i="33"/>
  <c r="M17" i="33" s="1"/>
  <c r="N17" i="33" s="1"/>
  <c r="H17" i="33"/>
  <c r="K11" i="33"/>
  <c r="M11" i="33" s="1"/>
  <c r="N11" i="33" s="1"/>
  <c r="H11" i="33"/>
  <c r="I11" i="33" s="1"/>
  <c r="M8" i="33"/>
  <c r="N8" i="33" s="1"/>
  <c r="H8" i="33"/>
  <c r="I8" i="33" s="1"/>
  <c r="E11" i="32"/>
  <c r="K7" i="10"/>
  <c r="M7" i="10" s="1"/>
  <c r="N7" i="10" s="1"/>
  <c r="N12" i="10" s="1"/>
  <c r="I7" i="10"/>
  <c r="L25" i="28"/>
  <c r="N25" i="28" s="1"/>
  <c r="O25" i="28" s="1"/>
  <c r="E25" i="28"/>
  <c r="L24" i="28"/>
  <c r="N24" i="28" s="1"/>
  <c r="O24" i="28" s="1"/>
  <c r="E24" i="28"/>
  <c r="L23" i="28"/>
  <c r="N23" i="28" s="1"/>
  <c r="O23" i="28" s="1"/>
  <c r="E23" i="28"/>
  <c r="L17" i="28"/>
  <c r="N17" i="28" s="1"/>
  <c r="O17" i="28" s="1"/>
  <c r="E17" i="28"/>
  <c r="L16" i="28"/>
  <c r="N16" i="28" s="1"/>
  <c r="O16" i="28" s="1"/>
  <c r="E16" i="28"/>
  <c r="L15" i="28"/>
  <c r="N15" i="28" s="1"/>
  <c r="O15" i="28" s="1"/>
  <c r="E15" i="28"/>
  <c r="L9" i="28"/>
  <c r="N9" i="28" s="1"/>
  <c r="O9" i="28" s="1"/>
  <c r="E9" i="28"/>
  <c r="F9" i="28" s="1"/>
  <c r="L8" i="28"/>
  <c r="N8" i="28" s="1"/>
  <c r="O8" i="28" s="1"/>
  <c r="E8" i="28"/>
  <c r="F8" i="28" s="1"/>
  <c r="L7" i="28"/>
  <c r="N7" i="28" s="1"/>
  <c r="O7" i="28" s="1"/>
  <c r="E7" i="28"/>
  <c r="F7" i="28" s="1"/>
  <c r="E25" i="26"/>
  <c r="J22" i="26"/>
  <c r="L22" i="26" s="1"/>
  <c r="M22" i="26" s="1"/>
  <c r="M26" i="26" s="1"/>
  <c r="F26" i="32" s="1"/>
  <c r="E16" i="26"/>
  <c r="J14" i="26"/>
  <c r="L14" i="26" s="1"/>
  <c r="M14" i="26" s="1"/>
  <c r="E14" i="26"/>
  <c r="J5" i="26"/>
  <c r="L5" i="26" s="1"/>
  <c r="M5" i="26" s="1"/>
  <c r="E5" i="26"/>
  <c r="F5" i="26" s="1"/>
  <c r="J23" i="27"/>
  <c r="L23" i="27" s="1"/>
  <c r="M23" i="27" s="1"/>
  <c r="E23" i="27"/>
  <c r="J22" i="27"/>
  <c r="L22" i="27" s="1"/>
  <c r="M22" i="27" s="1"/>
  <c r="E22" i="27"/>
  <c r="L21" i="27"/>
  <c r="M21" i="27" s="1"/>
  <c r="E21" i="27"/>
  <c r="J15" i="27"/>
  <c r="L15" i="27" s="1"/>
  <c r="M15" i="27" s="1"/>
  <c r="E15" i="27"/>
  <c r="J14" i="27"/>
  <c r="L14" i="27" s="1"/>
  <c r="M14" i="27" s="1"/>
  <c r="E14" i="27"/>
  <c r="J13" i="27"/>
  <c r="L13" i="27" s="1"/>
  <c r="M13" i="27" s="1"/>
  <c r="E13" i="27"/>
  <c r="J5" i="27"/>
  <c r="L5" i="27" s="1"/>
  <c r="M5" i="27" s="1"/>
  <c r="E5" i="27"/>
  <c r="F5" i="27" s="1"/>
  <c r="K25" i="29"/>
  <c r="M25" i="29" s="1"/>
  <c r="N25" i="29" s="1"/>
  <c r="H25" i="29"/>
  <c r="K24" i="29"/>
  <c r="M24" i="29" s="1"/>
  <c r="N24" i="29" s="1"/>
  <c r="H24" i="29"/>
  <c r="K23" i="29"/>
  <c r="M23" i="29" s="1"/>
  <c r="N23" i="29" s="1"/>
  <c r="H23" i="29"/>
  <c r="K15" i="29"/>
  <c r="M15" i="29" s="1"/>
  <c r="N15" i="29" s="1"/>
  <c r="H15" i="29"/>
  <c r="K7" i="29"/>
  <c r="M7" i="29" s="1"/>
  <c r="N7" i="29" s="1"/>
  <c r="N10" i="29" s="1"/>
  <c r="H7" i="29"/>
  <c r="I7" i="29" s="1"/>
  <c r="K25" i="10"/>
  <c r="M25" i="10" s="1"/>
  <c r="N25" i="10" s="1"/>
  <c r="H25" i="10"/>
  <c r="K24" i="10"/>
  <c r="M24" i="10" s="1"/>
  <c r="N24" i="10" s="1"/>
  <c r="H24" i="10"/>
  <c r="N22" i="6"/>
  <c r="N26" i="10" l="1"/>
  <c r="N28" i="10" s="1"/>
  <c r="D13" i="32"/>
  <c r="D11" i="32"/>
  <c r="O26" i="28"/>
  <c r="F27" i="32" s="1"/>
  <c r="M24" i="27"/>
  <c r="F25" i="32" s="1"/>
  <c r="N28" i="33"/>
  <c r="F12" i="32" s="1"/>
  <c r="N12" i="33"/>
  <c r="D12" i="32" s="1"/>
  <c r="N20" i="33"/>
  <c r="E12" i="32" s="1"/>
  <c r="F11" i="32"/>
  <c r="N18" i="29"/>
  <c r="E13" i="32" s="1"/>
  <c r="E10" i="32"/>
  <c r="F10" i="32"/>
  <c r="N26" i="6"/>
  <c r="O18" i="28"/>
  <c r="E27" i="32" s="1"/>
  <c r="O10" i="28"/>
  <c r="D27" i="32" s="1"/>
  <c r="M17" i="26"/>
  <c r="E26" i="32" s="1"/>
  <c r="H26" i="32" s="1"/>
  <c r="M8" i="27"/>
  <c r="D25" i="32" s="1"/>
  <c r="M16" i="27"/>
  <c r="E25" i="32" s="1"/>
  <c r="N26" i="29"/>
  <c r="F13" i="32" s="1"/>
  <c r="F32" i="32"/>
  <c r="G13" i="32" l="1"/>
  <c r="H27" i="32"/>
  <c r="G10" i="32"/>
  <c r="G12" i="32"/>
  <c r="G11" i="32"/>
  <c r="N28" i="6"/>
  <c r="F9" i="32"/>
  <c r="F8" i="32"/>
  <c r="G8" i="32" s="1"/>
  <c r="H25" i="32"/>
  <c r="N28" i="29"/>
  <c r="M26" i="27"/>
  <c r="M28" i="26"/>
  <c r="O28" i="28"/>
  <c r="N30" i="33"/>
  <c r="G14" i="32" l="1"/>
  <c r="D9" i="32"/>
  <c r="G9" i="32" s="1"/>
  <c r="G37" i="32" l="1"/>
  <c r="E32" i="32"/>
  <c r="D32" i="32" l="1"/>
  <c r="H32" i="32" s="1"/>
  <c r="H37" i="32" l="1"/>
  <c r="I37" i="32" s="1"/>
</calcChain>
</file>

<file path=xl/sharedStrings.xml><?xml version="1.0" encoding="utf-8"?>
<sst xmlns="http://schemas.openxmlformats.org/spreadsheetml/2006/main" count="1678" uniqueCount="173">
  <si>
    <t>DE</t>
  </si>
  <si>
    <t>A</t>
  </si>
  <si>
    <t>TOTAL GANADO</t>
  </si>
  <si>
    <t>TOTAL DIA</t>
  </si>
  <si>
    <t>DIAS CBES</t>
  </si>
  <si>
    <t>TOTAL</t>
  </si>
  <si>
    <t>N°</t>
  </si>
  <si>
    <t>DIA</t>
  </si>
  <si>
    <t>NOMBRE</t>
  </si>
  <si>
    <t>TOTAL (75%)</t>
  </si>
  <si>
    <t>TOTAL (90%)</t>
  </si>
  <si>
    <t>OBSERVACION</t>
  </si>
  <si>
    <t>CORRESPONDIENTE AL SIGUIENTE MES</t>
  </si>
  <si>
    <t>BAJAS POR MATERNIDAD</t>
  </si>
  <si>
    <t>LA PAZ</t>
  </si>
  <si>
    <t>MATERNIDAD</t>
  </si>
  <si>
    <t>BANCO CENTRAL DE BOLIVIA</t>
  </si>
  <si>
    <t xml:space="preserve">ENFERMEDAD COMUN </t>
  </si>
  <si>
    <t>INSTITUCION</t>
  </si>
  <si>
    <t>RIESGO PROFESIONAL</t>
  </si>
  <si>
    <t>OBSERVACIONES</t>
  </si>
  <si>
    <t>BCB</t>
  </si>
  <si>
    <t>ASFI</t>
  </si>
  <si>
    <t>UIF</t>
  </si>
  <si>
    <t>MEFP</t>
  </si>
  <si>
    <t>ACCIDENTE DE TRABAJO</t>
  </si>
  <si>
    <t xml:space="preserve">TOTAL REEMB </t>
  </si>
  <si>
    <t>AUTORIDAD DE SUPERVISION DEL SISTEMA FINANCIERO</t>
  </si>
  <si>
    <t>FUNDACION CULTURAL - MUSEF</t>
  </si>
  <si>
    <t>FUNDACION CULTURAL - BCB</t>
  </si>
  <si>
    <t>FUNDACION CULTURAL - MNA</t>
  </si>
  <si>
    <t>MINISTERIO DE ECONOMIA Y FINANZAS PUBLICAS</t>
  </si>
  <si>
    <t>FC-BCB</t>
  </si>
  <si>
    <t>FC-MNA</t>
  </si>
  <si>
    <t>FC-MUSEF</t>
  </si>
  <si>
    <t>CBES</t>
  </si>
  <si>
    <t>AFCOOP</t>
  </si>
  <si>
    <t>BAJA MEDICA</t>
  </si>
  <si>
    <t>Empiezo</t>
  </si>
  <si>
    <t>Termino</t>
  </si>
  <si>
    <t>Correspondiente al mes</t>
  </si>
  <si>
    <t>dia</t>
  </si>
  <si>
    <t>AISEM</t>
  </si>
  <si>
    <t>CENETROP</t>
  </si>
  <si>
    <t>COSAIN</t>
  </si>
  <si>
    <t>ESCUELA TEC. SALUD</t>
  </si>
  <si>
    <t>CAJA BANCARIA ESTATAL DE SALUD</t>
  </si>
  <si>
    <t>COTIZACIONES</t>
  </si>
  <si>
    <t>Nº</t>
  </si>
  <si>
    <t>EDITORIAL DEL ESTADO</t>
  </si>
  <si>
    <t>ESCUELA NACIONAL DE SALUD</t>
  </si>
  <si>
    <t>ESCUELA TECNICA DE SALUD</t>
  </si>
  <si>
    <t>Para registro contable</t>
  </si>
  <si>
    <t>TOTAL REEMBOLSO</t>
  </si>
  <si>
    <t>CEASS</t>
  </si>
  <si>
    <t>MEDECIN S.R.L.</t>
  </si>
  <si>
    <t>MEDECIN SRL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</si>
  <si>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</si>
  <si>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CONSULADO DEL PERU</t>
  </si>
  <si>
    <t xml:space="preserve">       </t>
  </si>
  <si>
    <t>Nº. PATRONAL:</t>
  </si>
  <si>
    <t>11-911-0002</t>
  </si>
  <si>
    <t>11-710-0008</t>
  </si>
  <si>
    <t>Nº PATRONAL:</t>
  </si>
  <si>
    <t>11-730-0001</t>
  </si>
  <si>
    <t>Nº. PATRONAL :</t>
  </si>
  <si>
    <t>Nº PATRONAL :</t>
  </si>
  <si>
    <t>21-923-0002</t>
  </si>
  <si>
    <t xml:space="preserve">Nº  PATRONAL: </t>
  </si>
  <si>
    <t>Nº1 PATRONAL:</t>
  </si>
  <si>
    <t>11-911-0008</t>
  </si>
  <si>
    <t>11-911-0004</t>
  </si>
  <si>
    <t>11-710-0001</t>
  </si>
  <si>
    <t>11-710-0005</t>
  </si>
  <si>
    <t>61-923-0001</t>
  </si>
  <si>
    <t>11-911-0001</t>
  </si>
  <si>
    <t>11-911-0007</t>
  </si>
  <si>
    <t>Nº. PATRONAL:  11-929-0001</t>
  </si>
  <si>
    <t>21-911-0006</t>
  </si>
  <si>
    <t>11-929-0001</t>
  </si>
  <si>
    <t>CONSULADO GENERAL DEL PERU</t>
  </si>
  <si>
    <t>NUMERO PATRONAL:</t>
  </si>
  <si>
    <t>RENJIFO VALDIVIA GILKA CLAUDIA</t>
  </si>
  <si>
    <t>ARAUZ MARAÑON CLAUDIA MARCELA</t>
  </si>
  <si>
    <t>ARANO ROMERO LUIS SALVADOR</t>
  </si>
  <si>
    <t>FOODEMSA BOLIVIAN SRL</t>
  </si>
  <si>
    <t>AVILES LUNA WENDY MARIBEL</t>
  </si>
  <si>
    <t>11-911-0005</t>
  </si>
  <si>
    <t>PONQPAST S.R.L.</t>
  </si>
  <si>
    <t>11-206-0001</t>
  </si>
  <si>
    <t>VILLCA GOMEZ EUGENIO</t>
  </si>
  <si>
    <t>11-683-0001</t>
  </si>
  <si>
    <t>SUDEMSA SRL</t>
  </si>
  <si>
    <t>CHAMBI MAMANI ALEJANDRA</t>
  </si>
  <si>
    <t>NUMERO PATRONAL:  11-683-0001</t>
  </si>
  <si>
    <t>EFITRUCKS S.R.L.</t>
  </si>
  <si>
    <t>EFITRUCKS</t>
  </si>
  <si>
    <t>SOLIZ HARB RUBEN JOSE</t>
  </si>
  <si>
    <t>CLINICA FOIANINI</t>
  </si>
  <si>
    <t>UNIDAD DE INVESTIGACIONES FINANCIERAS</t>
  </si>
  <si>
    <t>ARCE CUELLAR MARIA SELVA</t>
  </si>
  <si>
    <t>BELLIDO QUINTANILLA HUMBERTO MARTIN</t>
  </si>
  <si>
    <t>PAINA CORDOVA ESTHER</t>
  </si>
  <si>
    <t>DAVALOS TORREZ SILVIA</t>
  </si>
  <si>
    <t>AGUILAR BARRIGA DIEGO ADRIAN</t>
  </si>
  <si>
    <t>OCHOA CHOQUE MARIA ROSARIO</t>
  </si>
  <si>
    <t>HUARINA VILLANUEVA VERONICA</t>
  </si>
  <si>
    <t>RIOS RIOS FERNANDO OMAR</t>
  </si>
  <si>
    <t>GUARACHI CONDORI SELENA YAQUELINE</t>
  </si>
  <si>
    <t>MAMANI MARCA RUTH JUDITH</t>
  </si>
  <si>
    <t>MINISTERIO DE RELACIONES EXTERIORES</t>
  </si>
  <si>
    <t>11-911-0009</t>
  </si>
  <si>
    <t>OPERADORALATIV ADMINISTRACION S.A.</t>
  </si>
  <si>
    <t xml:space="preserve">R.A. Nº </t>
  </si>
  <si>
    <t>347/2024</t>
  </si>
  <si>
    <t>ASUSS</t>
  </si>
  <si>
    <t>FOLCOL BOLIVIA</t>
  </si>
  <si>
    <t>61-011-0001</t>
  </si>
  <si>
    <t>FOLCOL BOLIVIA SRL</t>
  </si>
  <si>
    <t>AGUILERA CAMPOS KATIA</t>
  </si>
  <si>
    <t>PINTO RIOS CYNTIA ROXANA</t>
  </si>
  <si>
    <t>ZENTENO SILES JOSE FERNANDO</t>
  </si>
  <si>
    <t>MONTAÑO HURTADO JHOSELINE</t>
  </si>
  <si>
    <t>SANTOS ALVAREZ WINDY JAQUELINE</t>
  </si>
  <si>
    <t>QUISPE PERCA GLADYS</t>
  </si>
  <si>
    <t>FLORES FLORES IRWIN</t>
  </si>
  <si>
    <t>CHAVARRIA NUÑEZ MARIA LUISA</t>
  </si>
  <si>
    <t>SEMPERTEGUI ALVAREZ MARIO HECTOR</t>
  </si>
  <si>
    <t>CARLOS ARIEL CANCHARI APAZA</t>
  </si>
  <si>
    <t>CARLOS ARIEL CANCHARI APAZA - ELOHIM</t>
  </si>
  <si>
    <t>31-927-0013</t>
  </si>
  <si>
    <t>SOLIZ HUACOTA DANIEL</t>
  </si>
  <si>
    <t>TAPIA VENEGAS FRANK REYNALDO</t>
  </si>
  <si>
    <t>R.A. ASUSS:</t>
  </si>
  <si>
    <t>0362/2024</t>
  </si>
  <si>
    <t>REEMBOLSOS CORRESPONDIENTES AL MES DE ENERO 2025</t>
  </si>
  <si>
    <t>LOZA MUJICA POLET LUCIA</t>
  </si>
  <si>
    <t>LAIME LAIME ROSMERY</t>
  </si>
  <si>
    <t>CALCULO COMERCIAL</t>
  </si>
  <si>
    <t>PAUCARA APAZA LIBIA SANDRA</t>
  </si>
  <si>
    <t>MONTAÑO PLATA LENY</t>
  </si>
  <si>
    <t>SDP</t>
  </si>
  <si>
    <t>ZAPANA CALDERON HILDA Y.</t>
  </si>
  <si>
    <t>ASCARRUNZ PALZA CINTHIA Y.</t>
  </si>
  <si>
    <t>MEDRANO ROCHA ANGELA ALEJANDRA</t>
  </si>
  <si>
    <t>QUISPE MAMANI NINFA RUTH</t>
  </si>
  <si>
    <t>DELGADO VILLARREAL JAVIER</t>
  </si>
  <si>
    <t>URQUIDI VELASQUEZ MARIA LAURA</t>
  </si>
  <si>
    <t>ZURITA FLORES HENRY</t>
  </si>
  <si>
    <t>MAMANI LIMACHI EDITH</t>
  </si>
  <si>
    <t>FH</t>
  </si>
  <si>
    <t>BALLESTEROS COCA JOSE ROBERTO</t>
  </si>
  <si>
    <t>SANTA CRUZ RIOS LEON JORGE</t>
  </si>
  <si>
    <t>MAMANI HUANCA ROSMARY MODESTA</t>
  </si>
  <si>
    <t>TOLIN TORDOYA FLORENCIO</t>
  </si>
  <si>
    <t>MARCA MIRIAM</t>
  </si>
  <si>
    <t>MINISTERIO DE PLANIFICACION</t>
  </si>
  <si>
    <t>ACHU TICONA BETTY SUSANA</t>
  </si>
  <si>
    <t>11-927-0014</t>
  </si>
  <si>
    <t>ONEDATA SOPORTE INTEGRAL SRL</t>
  </si>
  <si>
    <t>TORO GUARACHI MIGUEL AMERICO</t>
  </si>
  <si>
    <t>ONEDATA SOPORTE INTEGRAL</t>
  </si>
  <si>
    <t>VILLARROEL CARRASCO LENNY</t>
  </si>
  <si>
    <t>SARAVIA FERRUFINO ANGELICA</t>
  </si>
  <si>
    <t>SUCOJAYO NAO HEIDY 92-5101 SNH</t>
  </si>
  <si>
    <t>CONDE MEJIA MARIELA YOSELYN 95-6011 CMM</t>
  </si>
  <si>
    <t>HORA</t>
  </si>
  <si>
    <t>CORRESPONDIENTE AL MES</t>
  </si>
  <si>
    <t xml:space="preserve">SOLO SE REEMBOLSA 30 DIAS EN TODOS LOS TIPO DE BAJA </t>
  </si>
  <si>
    <t xml:space="preserve">SOLO SE REEMBOLSA DEL MES QUE CORRESPONDA </t>
  </si>
  <si>
    <t>IGUAL QUE LOS APORTES PARA REALIZAR LA PRESENTACION DE SOLICITUD DE REEBOLSO</t>
  </si>
  <si>
    <t>DIA- 3 DIAS</t>
  </si>
  <si>
    <t>dia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</si>
</sst>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dd/mm/yy;@"/>
    <numFmt numFmtId="167" formatCode="_-* #,##0_-;\-* #,##0_-;_-* &quot;-&quot;??_-;_-@_-"/>
    <numFmt numFmtId="168" formatCode="#,##0.0000"/>
    <numFmt numFmtId="169" formatCode="#,##0.000"/>
    <numFmt numFmtId="170" formatCode="0_ ;[Red]\-0\ "/>
  </numFmts>
  <fonts count="6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16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rgb="FFFF0000"/>
      <name val="Calibri"/>
      <family val="2"/>
      <scheme val="minor"/>
    </font>
    <font>
      <sz val="15"/>
      <color theme="1"/>
      <name val="Times New Roman"/>
      <family val="1"/>
    </font>
    <font>
      <sz val="25"/>
      <color theme="1"/>
      <name val="Times New Roman"/>
      <family val="1"/>
    </font>
    <font>
      <b/>
      <sz val="9"/>
      <color theme="1"/>
      <name val="Times New Roman"/>
      <family val="1"/>
    </font>
    <font>
      <i/>
      <sz val="25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Calibri"/>
      <family val="2"/>
      <scheme val="minor"/>
    </font>
    <font>
      <b/>
      <sz val="18"/>
      <name val="Times New Roman"/>
      <family val="1"/>
    </font>
    <font>
      <sz val="25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b/>
      <sz val="10"/>
      <color theme="1"/>
      <name val="Times New Roman"/>
      <family val="1"/>
    </font>
    <font>
      <sz val="7"/>
      <color rgb="FFFF0000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3"/>
      <name val="Times New Roman"/>
      <family val="1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9"/>
      <color theme="1"/>
      <name val="Times New Roman"/>
      <family val="1"/>
    </font>
    <font>
      <sz val="36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28"/>
      <color theme="1"/>
      <name val="Calibri"/>
      <family val="2"/>
      <scheme val="minor"/>
    </font>
    <font>
      <sz val="28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8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 Narrow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i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26"/>
      <color theme="1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Times New Roman"/>
      <family val="1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i/>
      <sz val="12"/>
      <color theme="1"/>
      <name val="Times New Roman"/>
      <family val="1"/>
    </font>
    <font>
      <i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4" fontId="29" fillId="0" borderId="0" applyFont="0" applyFill="0" applyBorder="0" applyAlignment="0" applyProtection="0"/>
  </cellStyleXfs>
  <cellXfs count="653">
    <xf numFmtId="0" fontId="0" fillId="0" borderId="0" xfId="0"/>
    <xf numFmtId="0" fontId="0" fillId="0" borderId="0" xfId="0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2" fillId="0" borderId="8" xfId="0" applyFont="1" applyBorder="1"/>
    <xf numFmtId="0" fontId="5" fillId="3" borderId="0" xfId="0" applyFont="1" applyFill="1"/>
    <xf numFmtId="0" fontId="4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/>
    <xf numFmtId="0" fontId="7" fillId="3" borderId="8" xfId="0" applyFont="1" applyFill="1" applyBorder="1"/>
    <xf numFmtId="166" fontId="5" fillId="3" borderId="8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4" fontId="5" fillId="3" borderId="8" xfId="0" applyNumberFormat="1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1" xfId="0" applyFont="1" applyFill="1" applyBorder="1"/>
    <xf numFmtId="166" fontId="5" fillId="3" borderId="1" xfId="0" applyNumberFormat="1" applyFont="1" applyFill="1" applyBorder="1" applyAlignment="1">
      <alignment horizontal="center" vertical="center" wrapText="1"/>
    </xf>
    <xf numFmtId="4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/>
    <xf numFmtId="0" fontId="7" fillId="3" borderId="8" xfId="0" applyFont="1" applyFill="1" applyBorder="1" applyAlignment="1">
      <alignment wrapText="1"/>
    </xf>
    <xf numFmtId="0" fontId="10" fillId="0" borderId="0" xfId="0" applyFont="1"/>
    <xf numFmtId="0" fontId="4" fillId="3" borderId="7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4" fontId="0" fillId="0" borderId="11" xfId="0" applyNumberFormat="1" applyBorder="1"/>
    <xf numFmtId="4" fontId="4" fillId="2" borderId="6" xfId="0" applyNumberFormat="1" applyFont="1" applyFill="1" applyBorder="1"/>
    <xf numFmtId="4" fontId="0" fillId="2" borderId="11" xfId="0" applyNumberFormat="1" applyFill="1" applyBorder="1"/>
    <xf numFmtId="0" fontId="6" fillId="3" borderId="1" xfId="0" applyFont="1" applyFill="1" applyBorder="1"/>
    <xf numFmtId="0" fontId="7" fillId="3" borderId="8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4" fontId="16" fillId="3" borderId="8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/>
    </xf>
    <xf numFmtId="166" fontId="16" fillId="3" borderId="8" xfId="0" applyNumberFormat="1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vertical="center"/>
    </xf>
    <xf numFmtId="0" fontId="5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4" fontId="4" fillId="2" borderId="6" xfId="0" applyNumberFormat="1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5" fillId="3" borderId="9" xfId="0" applyFont="1" applyFill="1" applyBorder="1" applyAlignment="1">
      <alignment horizontal="center" vertical="center" wrapText="1"/>
    </xf>
    <xf numFmtId="166" fontId="25" fillId="3" borderId="28" xfId="0" applyNumberFormat="1" applyFont="1" applyFill="1" applyBorder="1" applyAlignment="1">
      <alignment horizontal="center" vertical="center"/>
    </xf>
    <xf numFmtId="166" fontId="26" fillId="3" borderId="8" xfId="0" applyNumberFormat="1" applyFont="1" applyFill="1" applyBorder="1" applyAlignment="1">
      <alignment horizontal="center" vertical="center"/>
    </xf>
    <xf numFmtId="166" fontId="26" fillId="3" borderId="1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/>
    </xf>
    <xf numFmtId="0" fontId="21" fillId="3" borderId="8" xfId="0" applyFont="1" applyFill="1" applyBorder="1" applyAlignment="1">
      <alignment vertical="center"/>
    </xf>
    <xf numFmtId="4" fontId="15" fillId="2" borderId="6" xfId="0" applyNumberFormat="1" applyFont="1" applyFill="1" applyBorder="1" applyAlignment="1">
      <alignment vertical="center"/>
    </xf>
    <xf numFmtId="4" fontId="16" fillId="3" borderId="0" xfId="0" applyNumberFormat="1" applyFont="1" applyFill="1" applyAlignment="1">
      <alignment vertical="center"/>
    </xf>
    <xf numFmtId="0" fontId="22" fillId="3" borderId="8" xfId="0" applyFont="1" applyFill="1" applyBorder="1" applyAlignment="1">
      <alignment vertical="center"/>
    </xf>
    <xf numFmtId="0" fontId="16" fillId="3" borderId="8" xfId="0" applyFont="1" applyFill="1" applyBorder="1" applyAlignment="1">
      <alignment vertical="center"/>
    </xf>
    <xf numFmtId="0" fontId="17" fillId="0" borderId="0" xfId="0" applyFont="1" applyAlignment="1">
      <alignment vertical="center"/>
    </xf>
    <xf numFmtId="166" fontId="25" fillId="3" borderId="29" xfId="0" applyNumberFormat="1" applyFont="1" applyFill="1" applyBorder="1" applyAlignment="1">
      <alignment horizontal="center" vertical="center"/>
    </xf>
    <xf numFmtId="166" fontId="25" fillId="3" borderId="19" xfId="0" applyNumberFormat="1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166" fontId="25" fillId="3" borderId="6" xfId="0" applyNumberFormat="1" applyFont="1" applyFill="1" applyBorder="1" applyAlignment="1">
      <alignment horizontal="center" vertical="center"/>
    </xf>
    <xf numFmtId="166" fontId="26" fillId="3" borderId="12" xfId="0" applyNumberFormat="1" applyFont="1" applyFill="1" applyBorder="1" applyAlignment="1">
      <alignment horizontal="center" vertical="center"/>
    </xf>
    <xf numFmtId="166" fontId="26" fillId="3" borderId="0" xfId="0" applyNumberFormat="1" applyFont="1" applyFill="1" applyAlignment="1">
      <alignment horizontal="center" vertical="center"/>
    </xf>
    <xf numFmtId="0" fontId="7" fillId="3" borderId="30" xfId="0" applyFont="1" applyFill="1" applyBorder="1"/>
    <xf numFmtId="166" fontId="5" fillId="3" borderId="31" xfId="0" applyNumberFormat="1" applyFont="1" applyFill="1" applyBorder="1" applyAlignment="1">
      <alignment horizontal="center" vertical="center" wrapText="1"/>
    </xf>
    <xf numFmtId="166" fontId="25" fillId="3" borderId="20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166" fontId="25" fillId="3" borderId="13" xfId="0" applyNumberFormat="1" applyFont="1" applyFill="1" applyBorder="1" applyAlignment="1">
      <alignment horizontal="center" vertical="center"/>
    </xf>
    <xf numFmtId="166" fontId="25" fillId="3" borderId="2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4" fillId="2" borderId="6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3" borderId="8" xfId="0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25" fillId="3" borderId="20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2" fillId="0" borderId="8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wrapText="1"/>
    </xf>
    <xf numFmtId="0" fontId="6" fillId="3" borderId="8" xfId="0" applyFont="1" applyFill="1" applyBorder="1" applyAlignment="1">
      <alignment horizontal="left" vertical="center" wrapText="1"/>
    </xf>
    <xf numFmtId="0" fontId="21" fillId="3" borderId="8" xfId="0" applyFont="1" applyFill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4" fontId="5" fillId="3" borderId="0" xfId="0" applyNumberFormat="1" applyFont="1" applyFill="1"/>
    <xf numFmtId="0" fontId="5" fillId="0" borderId="25" xfId="0" applyFont="1" applyBorder="1"/>
    <xf numFmtId="0" fontId="5" fillId="0" borderId="35" xfId="0" applyFont="1" applyBorder="1"/>
    <xf numFmtId="0" fontId="5" fillId="0" borderId="4" xfId="0" applyFont="1" applyBorder="1"/>
    <xf numFmtId="0" fontId="5" fillId="0" borderId="36" xfId="0" applyFont="1" applyBorder="1"/>
    <xf numFmtId="0" fontId="30" fillId="3" borderId="8" xfId="0" applyFont="1" applyFill="1" applyBorder="1" applyAlignment="1">
      <alignment vertical="center" wrapText="1"/>
    </xf>
    <xf numFmtId="43" fontId="0" fillId="0" borderId="0" xfId="1" applyFont="1" applyAlignment="1">
      <alignment vertical="center"/>
    </xf>
    <xf numFmtId="167" fontId="26" fillId="3" borderId="8" xfId="1" applyNumberFormat="1" applyFont="1" applyFill="1" applyBorder="1" applyAlignment="1">
      <alignment horizontal="center" vertical="center"/>
    </xf>
    <xf numFmtId="167" fontId="25" fillId="3" borderId="29" xfId="1" applyNumberFormat="1" applyFont="1" applyFill="1" applyBorder="1" applyAlignment="1">
      <alignment horizontal="center" vertical="center"/>
    </xf>
    <xf numFmtId="167" fontId="25" fillId="3" borderId="19" xfId="1" applyNumberFormat="1" applyFont="1" applyFill="1" applyBorder="1" applyAlignment="1">
      <alignment horizontal="center" vertical="center"/>
    </xf>
    <xf numFmtId="167" fontId="26" fillId="3" borderId="1" xfId="1" applyNumberFormat="1" applyFont="1" applyFill="1" applyBorder="1" applyAlignment="1">
      <alignment horizontal="center" vertical="center"/>
    </xf>
    <xf numFmtId="167" fontId="5" fillId="3" borderId="0" xfId="1" applyNumberFormat="1" applyFont="1" applyFill="1" applyAlignment="1">
      <alignment horizontal="center" vertical="center" wrapText="1"/>
    </xf>
    <xf numFmtId="167" fontId="5" fillId="3" borderId="0" xfId="1" applyNumberFormat="1" applyFont="1" applyFill="1" applyAlignment="1">
      <alignment vertical="center" wrapText="1"/>
    </xf>
    <xf numFmtId="167" fontId="25" fillId="3" borderId="20" xfId="1" applyNumberFormat="1" applyFont="1" applyFill="1" applyBorder="1" applyAlignment="1">
      <alignment horizontal="center" vertical="center"/>
    </xf>
    <xf numFmtId="167" fontId="0" fillId="0" borderId="0" xfId="1" applyNumberFormat="1" applyFont="1" applyAlignment="1">
      <alignment horizontal="center" vertical="center" wrapText="1"/>
    </xf>
    <xf numFmtId="0" fontId="33" fillId="3" borderId="1" xfId="0" applyFont="1" applyFill="1" applyBorder="1"/>
    <xf numFmtId="0" fontId="33" fillId="3" borderId="8" xfId="0" applyFont="1" applyFill="1" applyBorder="1"/>
    <xf numFmtId="0" fontId="1" fillId="0" borderId="0" xfId="0" applyFont="1" applyAlignment="1">
      <alignment vertical="center"/>
    </xf>
    <xf numFmtId="4" fontId="4" fillId="6" borderId="6" xfId="0" applyNumberFormat="1" applyFont="1" applyFill="1" applyBorder="1" applyAlignment="1">
      <alignment horizontal="center" vertical="center"/>
    </xf>
    <xf numFmtId="4" fontId="5" fillId="0" borderId="1" xfId="1" applyNumberFormat="1" applyFont="1" applyBorder="1"/>
    <xf numFmtId="4" fontId="6" fillId="0" borderId="1" xfId="0" applyNumberFormat="1" applyFont="1" applyBorder="1"/>
    <xf numFmtId="4" fontId="5" fillId="5" borderId="1" xfId="1" applyNumberFormat="1" applyFont="1" applyFill="1" applyBorder="1"/>
    <xf numFmtId="4" fontId="6" fillId="0" borderId="0" xfId="0" applyNumberFormat="1" applyFont="1"/>
    <xf numFmtId="4" fontId="4" fillId="5" borderId="6" xfId="1" applyNumberFormat="1" applyFont="1" applyFill="1" applyBorder="1" applyAlignment="1">
      <alignment vertical="center"/>
    </xf>
    <xf numFmtId="4" fontId="4" fillId="0" borderId="6" xfId="1" applyNumberFormat="1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wrapText="1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4" fontId="5" fillId="7" borderId="1" xfId="1" applyNumberFormat="1" applyFont="1" applyFill="1" applyBorder="1"/>
    <xf numFmtId="4" fontId="5" fillId="7" borderId="12" xfId="1" applyNumberFormat="1" applyFont="1" applyFill="1" applyBorder="1"/>
    <xf numFmtId="0" fontId="33" fillId="3" borderId="8" xfId="0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4" fontId="4" fillId="0" borderId="0" xfId="1" applyNumberFormat="1" applyFont="1" applyBorder="1" applyAlignment="1">
      <alignment vertical="center"/>
    </xf>
    <xf numFmtId="0" fontId="5" fillId="3" borderId="0" xfId="0" applyFont="1" applyFill="1" applyAlignment="1">
      <alignment horizontal="right" vertical="center" wrapText="1"/>
    </xf>
    <xf numFmtId="4" fontId="5" fillId="3" borderId="8" xfId="0" applyNumberFormat="1" applyFont="1" applyFill="1" applyBorder="1" applyAlignment="1">
      <alignment horizontal="right" vertical="center" wrapText="1"/>
    </xf>
    <xf numFmtId="4" fontId="4" fillId="2" borderId="6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4" fontId="1" fillId="2" borderId="11" xfId="0" applyNumberFormat="1" applyFont="1" applyFill="1" applyBorder="1" applyAlignment="1">
      <alignment horizontal="right" vertical="center" wrapText="1"/>
    </xf>
    <xf numFmtId="0" fontId="21" fillId="3" borderId="1" xfId="0" applyFont="1" applyFill="1" applyBorder="1" applyAlignment="1">
      <alignment vertical="center"/>
    </xf>
    <xf numFmtId="0" fontId="30" fillId="3" borderId="1" xfId="0" applyFont="1" applyFill="1" applyBorder="1" applyAlignment="1">
      <alignment vertical="center" wrapText="1"/>
    </xf>
    <xf numFmtId="0" fontId="30" fillId="3" borderId="8" xfId="0" applyFont="1" applyFill="1" applyBorder="1" applyAlignment="1">
      <alignment horizontal="center" vertical="center"/>
    </xf>
    <xf numFmtId="4" fontId="16" fillId="3" borderId="8" xfId="0" applyNumberFormat="1" applyFont="1" applyFill="1" applyBorder="1" applyAlignment="1">
      <alignment horizontal="right" vertical="center" wrapText="1"/>
    </xf>
    <xf numFmtId="4" fontId="7" fillId="0" borderId="8" xfId="0" applyNumberFormat="1" applyFont="1" applyBorder="1" applyAlignment="1">
      <alignment horizontal="left" vertical="center" wrapText="1"/>
    </xf>
    <xf numFmtId="4" fontId="5" fillId="3" borderId="0" xfId="0" applyNumberFormat="1" applyFont="1" applyFill="1" applyAlignment="1">
      <alignment horizontal="left" vertical="center"/>
    </xf>
    <xf numFmtId="3" fontId="5" fillId="3" borderId="8" xfId="0" applyNumberFormat="1" applyFont="1" applyFill="1" applyBorder="1" applyAlignment="1">
      <alignment horizontal="center" vertical="center" wrapText="1"/>
    </xf>
    <xf numFmtId="4" fontId="5" fillId="4" borderId="1" xfId="1" applyNumberFormat="1" applyFont="1" applyFill="1" applyBorder="1"/>
    <xf numFmtId="4" fontId="33" fillId="3" borderId="8" xfId="0" applyNumberFormat="1" applyFont="1" applyFill="1" applyBorder="1" applyAlignment="1">
      <alignment vertical="center"/>
    </xf>
    <xf numFmtId="168" fontId="0" fillId="0" borderId="0" xfId="0" applyNumberFormat="1" applyAlignment="1">
      <alignment vertical="center"/>
    </xf>
    <xf numFmtId="4" fontId="16" fillId="3" borderId="8" xfId="0" applyNumberFormat="1" applyFont="1" applyFill="1" applyBorder="1" applyAlignment="1">
      <alignment vertical="center" wrapText="1"/>
    </xf>
    <xf numFmtId="0" fontId="35" fillId="0" borderId="8" xfId="0" applyFont="1" applyBorder="1" applyAlignment="1">
      <alignment horizontal="left" vertical="center" wrapText="1"/>
    </xf>
    <xf numFmtId="17" fontId="1" fillId="0" borderId="0" xfId="0" applyNumberFormat="1" applyFont="1"/>
    <xf numFmtId="4" fontId="4" fillId="3" borderId="1" xfId="0" applyNumberFormat="1" applyFont="1" applyFill="1" applyBorder="1" applyAlignment="1">
      <alignment horizontal="center" vertical="center" wrapText="1"/>
    </xf>
    <xf numFmtId="169" fontId="0" fillId="0" borderId="0" xfId="0" applyNumberFormat="1" applyAlignment="1">
      <alignment vertical="center" wrapText="1"/>
    </xf>
    <xf numFmtId="4" fontId="5" fillId="3" borderId="0" xfId="0" applyNumberFormat="1" applyFont="1" applyFill="1" applyAlignment="1">
      <alignment vertical="center"/>
    </xf>
    <xf numFmtId="43" fontId="5" fillId="3" borderId="0" xfId="1" applyFont="1" applyFill="1" applyAlignment="1">
      <alignment vertical="center"/>
    </xf>
    <xf numFmtId="43" fontId="5" fillId="6" borderId="0" xfId="1" applyFont="1" applyFill="1" applyAlignment="1">
      <alignment vertical="center"/>
    </xf>
    <xf numFmtId="4" fontId="1" fillId="2" borderId="11" xfId="0" applyNumberFormat="1" applyFont="1" applyFill="1" applyBorder="1"/>
    <xf numFmtId="0" fontId="31" fillId="3" borderId="8" xfId="0" applyFont="1" applyFill="1" applyBorder="1"/>
    <xf numFmtId="0" fontId="31" fillId="3" borderId="1" xfId="0" applyFont="1" applyFill="1" applyBorder="1"/>
    <xf numFmtId="4" fontId="34" fillId="2" borderId="11" xfId="0" applyNumberFormat="1" applyFont="1" applyFill="1" applyBorder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 wrapText="1"/>
    </xf>
    <xf numFmtId="4" fontId="38" fillId="2" borderId="1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4" fontId="38" fillId="2" borderId="11" xfId="0" applyNumberFormat="1" applyFont="1" applyFill="1" applyBorder="1" applyAlignment="1">
      <alignment vertical="center"/>
    </xf>
    <xf numFmtId="4" fontId="40" fillId="2" borderId="7" xfId="0" applyNumberFormat="1" applyFont="1" applyFill="1" applyBorder="1" applyAlignment="1">
      <alignment horizontal="right" vertical="center"/>
    </xf>
    <xf numFmtId="4" fontId="40" fillId="2" borderId="6" xfId="0" applyNumberFormat="1" applyFont="1" applyFill="1" applyBorder="1" applyAlignment="1">
      <alignment vertical="center"/>
    </xf>
    <xf numFmtId="167" fontId="0" fillId="0" borderId="0" xfId="0" applyNumberFormat="1" applyAlignment="1">
      <alignment horizontal="center" vertical="center" wrapText="1"/>
    </xf>
    <xf numFmtId="4" fontId="30" fillId="3" borderId="1" xfId="0" applyNumberFormat="1" applyFont="1" applyFill="1" applyBorder="1" applyAlignment="1">
      <alignment vertical="center" wrapText="1"/>
    </xf>
    <xf numFmtId="4" fontId="41" fillId="2" borderId="11" xfId="0" applyNumberFormat="1" applyFont="1" applyFill="1" applyBorder="1" applyAlignment="1">
      <alignment vertical="center"/>
    </xf>
    <xf numFmtId="4" fontId="38" fillId="2" borderId="11" xfId="0" applyNumberFormat="1" applyFont="1" applyFill="1" applyBorder="1"/>
    <xf numFmtId="4" fontId="0" fillId="0" borderId="0" xfId="0" applyNumberFormat="1"/>
    <xf numFmtId="4" fontId="5" fillId="6" borderId="1" xfId="1" applyNumberFormat="1" applyFont="1" applyFill="1" applyBorder="1"/>
    <xf numFmtId="4" fontId="1" fillId="2" borderId="11" xfId="0" applyNumberFormat="1" applyFont="1" applyFill="1" applyBorder="1" applyAlignment="1">
      <alignment vertical="center"/>
    </xf>
    <xf numFmtId="0" fontId="26" fillId="8" borderId="8" xfId="0" applyFont="1" applyFill="1" applyBorder="1" applyAlignment="1">
      <alignment horizontal="center" vertical="center"/>
    </xf>
    <xf numFmtId="166" fontId="16" fillId="8" borderId="8" xfId="0" applyNumberFormat="1" applyFont="1" applyFill="1" applyBorder="1" applyAlignment="1">
      <alignment horizontal="center" vertical="center" wrapText="1"/>
    </xf>
    <xf numFmtId="0" fontId="16" fillId="8" borderId="8" xfId="0" applyFont="1" applyFill="1" applyBorder="1" applyAlignment="1">
      <alignment horizontal="center" vertical="center" wrapText="1"/>
    </xf>
    <xf numFmtId="4" fontId="16" fillId="8" borderId="8" xfId="0" applyNumberFormat="1" applyFont="1" applyFill="1" applyBorder="1" applyAlignment="1">
      <alignment horizontal="center" vertical="center" wrapText="1"/>
    </xf>
    <xf numFmtId="4" fontId="16" fillId="8" borderId="8" xfId="0" applyNumberFormat="1" applyFont="1" applyFill="1" applyBorder="1" applyAlignment="1">
      <alignment vertical="center" wrapText="1"/>
    </xf>
    <xf numFmtId="0" fontId="6" fillId="3" borderId="30" xfId="0" applyFont="1" applyFill="1" applyBorder="1"/>
    <xf numFmtId="4" fontId="42" fillId="2" borderId="11" xfId="0" applyNumberFormat="1" applyFont="1" applyFill="1" applyBorder="1"/>
    <xf numFmtId="4" fontId="43" fillId="0" borderId="1" xfId="1" applyNumberFormat="1" applyFont="1" applyBorder="1"/>
    <xf numFmtId="4" fontId="44" fillId="2" borderId="11" xfId="0" applyNumberFormat="1" applyFont="1" applyFill="1" applyBorder="1"/>
    <xf numFmtId="14" fontId="33" fillId="3" borderId="8" xfId="0" applyNumberFormat="1" applyFont="1" applyFill="1" applyBorder="1"/>
    <xf numFmtId="0" fontId="5" fillId="3" borderId="25" xfId="0" applyFont="1" applyFill="1" applyBorder="1"/>
    <xf numFmtId="4" fontId="43" fillId="3" borderId="1" xfId="1" applyNumberFormat="1" applyFont="1" applyFill="1" applyBorder="1"/>
    <xf numFmtId="4" fontId="5" fillId="3" borderId="1" xfId="1" applyNumberFormat="1" applyFont="1" applyFill="1" applyBorder="1"/>
    <xf numFmtId="166" fontId="5" fillId="3" borderId="30" xfId="0" applyNumberFormat="1" applyFont="1" applyFill="1" applyBorder="1" applyAlignment="1">
      <alignment horizontal="center" vertical="center" wrapText="1"/>
    </xf>
    <xf numFmtId="4" fontId="5" fillId="0" borderId="12" xfId="1" applyNumberFormat="1" applyFont="1" applyBorder="1"/>
    <xf numFmtId="4" fontId="6" fillId="0" borderId="12" xfId="0" applyNumberFormat="1" applyFont="1" applyBorder="1"/>
    <xf numFmtId="4" fontId="6" fillId="0" borderId="8" xfId="0" applyNumberFormat="1" applyFont="1" applyBorder="1"/>
    <xf numFmtId="4" fontId="45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1" fontId="5" fillId="3" borderId="8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/>
    </xf>
    <xf numFmtId="166" fontId="26" fillId="9" borderId="1" xfId="0" applyNumberFormat="1" applyFont="1" applyFill="1" applyBorder="1" applyAlignment="1">
      <alignment horizontal="center" vertical="center"/>
    </xf>
    <xf numFmtId="167" fontId="26" fillId="9" borderId="1" xfId="1" applyNumberFormat="1" applyFont="1" applyFill="1" applyBorder="1" applyAlignment="1">
      <alignment horizontal="center" vertical="center"/>
    </xf>
    <xf numFmtId="166" fontId="5" fillId="9" borderId="1" xfId="0" applyNumberFormat="1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4" fontId="5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4" fontId="4" fillId="9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vertical="center" wrapText="1"/>
    </xf>
    <xf numFmtId="0" fontId="24" fillId="3" borderId="8" xfId="0" applyFont="1" applyFill="1" applyBorder="1" applyAlignment="1">
      <alignment vertical="center" wrapText="1"/>
    </xf>
    <xf numFmtId="0" fontId="33" fillId="3" borderId="8" xfId="0" applyFont="1" applyFill="1" applyBorder="1" applyAlignment="1">
      <alignment horizontal="left" wrapText="1"/>
    </xf>
    <xf numFmtId="43" fontId="4" fillId="2" borderId="6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3" fillId="3" borderId="1" xfId="0" applyFont="1" applyFill="1" applyBorder="1" applyAlignment="1">
      <alignment wrapText="1"/>
    </xf>
    <xf numFmtId="0" fontId="33" fillId="3" borderId="0" xfId="0" applyFont="1" applyFill="1" applyAlignment="1">
      <alignment horizontal="center" vertical="center" wrapText="1"/>
    </xf>
    <xf numFmtId="0" fontId="33" fillId="3" borderId="0" xfId="0" applyFont="1" applyFill="1"/>
    <xf numFmtId="0" fontId="23" fillId="3" borderId="4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46" fillId="0" borderId="8" xfId="0" applyFont="1" applyBorder="1"/>
    <xf numFmtId="0" fontId="33" fillId="3" borderId="30" xfId="0" applyFont="1" applyFill="1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wrapText="1"/>
    </xf>
    <xf numFmtId="0" fontId="35" fillId="3" borderId="1" xfId="0" applyFont="1" applyFill="1" applyBorder="1" applyAlignment="1">
      <alignment vertical="center" wrapText="1"/>
    </xf>
    <xf numFmtId="0" fontId="50" fillId="0" borderId="0" xfId="0" applyFont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48" fillId="3" borderId="8" xfId="0" applyFont="1" applyFill="1" applyBorder="1" applyAlignment="1">
      <alignment horizontal="left" vertical="center"/>
    </xf>
    <xf numFmtId="0" fontId="51" fillId="3" borderId="8" xfId="0" applyFont="1" applyFill="1" applyBorder="1" applyAlignment="1">
      <alignment horizontal="left" vertical="center" wrapText="1"/>
    </xf>
    <xf numFmtId="1" fontId="51" fillId="3" borderId="8" xfId="0" applyNumberFormat="1" applyFont="1" applyFill="1" applyBorder="1" applyAlignment="1">
      <alignment horizontal="center" vertical="center"/>
    </xf>
    <xf numFmtId="166" fontId="51" fillId="3" borderId="8" xfId="0" applyNumberFormat="1" applyFont="1" applyFill="1" applyBorder="1" applyAlignment="1">
      <alignment horizontal="center" vertical="center" wrapText="1"/>
    </xf>
    <xf numFmtId="0" fontId="51" fillId="3" borderId="8" xfId="0" applyFont="1" applyFill="1" applyBorder="1" applyAlignment="1">
      <alignment horizontal="center" vertical="center" wrapText="1"/>
    </xf>
    <xf numFmtId="4" fontId="52" fillId="3" borderId="8" xfId="0" applyNumberFormat="1" applyFont="1" applyFill="1" applyBorder="1" applyAlignment="1">
      <alignment horizontal="center" vertical="center" wrapText="1"/>
    </xf>
    <xf numFmtId="4" fontId="51" fillId="3" borderId="8" xfId="0" applyNumberFormat="1" applyFont="1" applyFill="1" applyBorder="1" applyAlignment="1">
      <alignment horizontal="center" vertical="center" wrapText="1"/>
    </xf>
    <xf numFmtId="43" fontId="51" fillId="3" borderId="8" xfId="1" applyFont="1" applyFill="1" applyBorder="1" applyAlignment="1">
      <alignment horizontal="center" vertical="center" wrapText="1"/>
    </xf>
    <xf numFmtId="0" fontId="49" fillId="3" borderId="8" xfId="0" applyFont="1" applyFill="1" applyBorder="1" applyAlignment="1">
      <alignment vertical="center"/>
    </xf>
    <xf numFmtId="0" fontId="31" fillId="3" borderId="8" xfId="0" applyFont="1" applyFill="1" applyBorder="1" applyAlignment="1">
      <alignment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0" xfId="0" applyFont="1" applyFill="1" applyAlignment="1">
      <alignment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166" fontId="31" fillId="3" borderId="1" xfId="0" applyNumberFormat="1" applyFont="1" applyFill="1" applyBorder="1" applyAlignment="1">
      <alignment horizontal="left" vertical="center"/>
    </xf>
    <xf numFmtId="43" fontId="0" fillId="0" borderId="0" xfId="1" applyFont="1" applyAlignment="1">
      <alignment vertical="center" wrapText="1"/>
    </xf>
    <xf numFmtId="43" fontId="0" fillId="0" borderId="0" xfId="0" applyNumberFormat="1" applyAlignment="1">
      <alignment vertical="center" wrapText="1"/>
    </xf>
    <xf numFmtId="0" fontId="50" fillId="0" borderId="0" xfId="0" applyFont="1" applyAlignment="1">
      <alignment vertical="center"/>
    </xf>
    <xf numFmtId="0" fontId="50" fillId="0" borderId="0" xfId="0" applyFont="1" applyAlignment="1">
      <alignment vertical="center" wrapText="1"/>
    </xf>
    <xf numFmtId="0" fontId="2" fillId="0" borderId="30" xfId="0" applyFont="1" applyBorder="1"/>
    <xf numFmtId="166" fontId="0" fillId="0" borderId="31" xfId="0" applyNumberFormat="1" applyBorder="1" applyAlignment="1">
      <alignment horizontal="center" vertical="center" wrapText="1"/>
    </xf>
    <xf numFmtId="166" fontId="0" fillId="0" borderId="8" xfId="0" applyNumberForma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6" fontId="53" fillId="3" borderId="1" xfId="0" applyNumberFormat="1" applyFont="1" applyFill="1" applyBorder="1" applyAlignment="1">
      <alignment horizontal="center" vertical="center"/>
    </xf>
    <xf numFmtId="167" fontId="53" fillId="3" borderId="8" xfId="1" applyNumberFormat="1" applyFont="1" applyFill="1" applyBorder="1" applyAlignment="1">
      <alignment horizontal="center" vertical="center"/>
    </xf>
    <xf numFmtId="166" fontId="39" fillId="3" borderId="1" xfId="0" applyNumberFormat="1" applyFont="1" applyFill="1" applyBorder="1" applyAlignment="1">
      <alignment horizontal="center" vertical="center" wrapText="1"/>
    </xf>
    <xf numFmtId="0" fontId="39" fillId="3" borderId="8" xfId="0" applyFont="1" applyFill="1" applyBorder="1" applyAlignment="1">
      <alignment horizontal="center" vertical="center" wrapText="1"/>
    </xf>
    <xf numFmtId="43" fontId="39" fillId="3" borderId="1" xfId="1" applyFont="1" applyFill="1" applyBorder="1" applyAlignment="1">
      <alignment horizontal="center" vertical="center" wrapText="1"/>
    </xf>
    <xf numFmtId="4" fontId="39" fillId="3" borderId="8" xfId="0" applyNumberFormat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4" fontId="33" fillId="3" borderId="8" xfId="0" applyNumberFormat="1" applyFont="1" applyFill="1" applyBorder="1" applyAlignment="1">
      <alignment horizontal="right" vertical="center" wrapText="1"/>
    </xf>
    <xf numFmtId="167" fontId="33" fillId="3" borderId="0" xfId="1" applyNumberFormat="1" applyFont="1" applyFill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39" fillId="3" borderId="0" xfId="0" applyFont="1" applyFill="1" applyAlignment="1">
      <alignment vertical="center" wrapText="1"/>
    </xf>
    <xf numFmtId="4" fontId="23" fillId="2" borderId="6" xfId="0" applyNumberFormat="1" applyFont="1" applyFill="1" applyBorder="1" applyAlignment="1">
      <alignment horizontal="right" vertical="center" wrapText="1"/>
    </xf>
    <xf numFmtId="0" fontId="33" fillId="3" borderId="0" xfId="0" applyFont="1" applyFill="1" applyAlignment="1">
      <alignment vertical="center" wrapText="1"/>
    </xf>
    <xf numFmtId="167" fontId="33" fillId="3" borderId="0" xfId="1" applyNumberFormat="1" applyFont="1" applyFill="1" applyAlignment="1">
      <alignment vertical="center" wrapText="1"/>
    </xf>
    <xf numFmtId="0" fontId="33" fillId="3" borderId="0" xfId="0" applyFont="1" applyFill="1" applyAlignment="1">
      <alignment horizontal="right" vertical="center" wrapText="1"/>
    </xf>
    <xf numFmtId="0" fontId="54" fillId="3" borderId="5" xfId="0" applyFont="1" applyFill="1" applyBorder="1" applyAlignment="1">
      <alignment horizontal="center" vertical="center" wrapText="1"/>
    </xf>
    <xf numFmtId="166" fontId="55" fillId="3" borderId="28" xfId="0" applyNumberFormat="1" applyFont="1" applyFill="1" applyBorder="1" applyAlignment="1">
      <alignment horizontal="center" vertical="center"/>
    </xf>
    <xf numFmtId="0" fontId="54" fillId="3" borderId="6" xfId="0" applyFont="1" applyFill="1" applyBorder="1" applyAlignment="1">
      <alignment horizontal="center" vertical="center" wrapText="1"/>
    </xf>
    <xf numFmtId="0" fontId="54" fillId="3" borderId="9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166" fontId="39" fillId="3" borderId="8" xfId="0" applyNumberFormat="1" applyFont="1" applyFill="1" applyBorder="1" applyAlignment="1">
      <alignment horizontal="center" vertical="center" wrapText="1"/>
    </xf>
    <xf numFmtId="0" fontId="31" fillId="3" borderId="30" xfId="0" applyFont="1" applyFill="1" applyBorder="1"/>
    <xf numFmtId="14" fontId="33" fillId="9" borderId="8" xfId="0" applyNumberFormat="1" applyFont="1" applyFill="1" applyBorder="1"/>
    <xf numFmtId="0" fontId="7" fillId="9" borderId="8" xfId="0" applyFont="1" applyFill="1" applyBorder="1"/>
    <xf numFmtId="166" fontId="5" fillId="9" borderId="8" xfId="0" applyNumberFormat="1" applyFont="1" applyFill="1" applyBorder="1" applyAlignment="1">
      <alignment horizontal="center" vertical="center" wrapText="1"/>
    </xf>
    <xf numFmtId="4" fontId="5" fillId="9" borderId="8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3" fillId="0" borderId="39" xfId="0" applyFont="1" applyBorder="1" applyAlignment="1">
      <alignment horizontal="left" vertical="center" wrapText="1"/>
    </xf>
    <xf numFmtId="166" fontId="33" fillId="0" borderId="39" xfId="0" applyNumberFormat="1" applyFont="1" applyBorder="1" applyAlignment="1">
      <alignment horizontal="center" vertical="center"/>
    </xf>
    <xf numFmtId="4" fontId="39" fillId="0" borderId="39" xfId="0" applyNumberFormat="1" applyFont="1" applyBorder="1" applyAlignment="1">
      <alignment horizontal="right" vertical="center" wrapText="1"/>
    </xf>
    <xf numFmtId="165" fontId="49" fillId="3" borderId="8" xfId="2" applyFont="1" applyFill="1" applyBorder="1" applyAlignment="1">
      <alignment horizontal="right" vertical="center" wrapText="1"/>
    </xf>
    <xf numFmtId="166" fontId="5" fillId="3" borderId="8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6" fontId="5" fillId="8" borderId="8" xfId="0" applyNumberFormat="1" applyFont="1" applyFill="1" applyBorder="1" applyAlignment="1">
      <alignment horizontal="center" vertical="center"/>
    </xf>
    <xf numFmtId="4" fontId="1" fillId="3" borderId="0" xfId="0" applyNumberFormat="1" applyFont="1" applyFill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43" fontId="22" fillId="3" borderId="8" xfId="1" applyFont="1" applyFill="1" applyBorder="1" applyAlignment="1">
      <alignment vertical="center"/>
    </xf>
    <xf numFmtId="43" fontId="35" fillId="3" borderId="8" xfId="0" applyNumberFormat="1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right"/>
    </xf>
    <xf numFmtId="0" fontId="5" fillId="3" borderId="8" xfId="0" applyFont="1" applyFill="1" applyBorder="1" applyAlignment="1">
      <alignment horizontal="right" vertical="center" wrapText="1"/>
    </xf>
    <xf numFmtId="0" fontId="4" fillId="3" borderId="5" xfId="0" applyFont="1" applyFill="1" applyBorder="1" applyAlignment="1">
      <alignment horizontal="right" vertical="center" wrapText="1"/>
    </xf>
    <xf numFmtId="167" fontId="16" fillId="3" borderId="1" xfId="0" applyNumberFormat="1" applyFont="1" applyFill="1" applyBorder="1" applyAlignment="1">
      <alignment horizontal="center" vertical="center" wrapText="1"/>
    </xf>
    <xf numFmtId="43" fontId="5" fillId="3" borderId="8" xfId="1" applyFont="1" applyFill="1" applyBorder="1" applyAlignment="1">
      <alignment horizontal="center" vertical="center" wrapText="1"/>
    </xf>
    <xf numFmtId="166" fontId="26" fillId="3" borderId="1" xfId="0" applyNumberFormat="1" applyFont="1" applyFill="1" applyBorder="1" applyAlignment="1">
      <alignment horizontal="right" vertical="center"/>
    </xf>
    <xf numFmtId="0" fontId="26" fillId="3" borderId="8" xfId="0" applyFont="1" applyFill="1" applyBorder="1" applyAlignment="1">
      <alignment horizontal="right" vertical="center"/>
    </xf>
    <xf numFmtId="166" fontId="5" fillId="3" borderId="1" xfId="0" applyNumberFormat="1" applyFont="1" applyFill="1" applyBorder="1" applyAlignment="1">
      <alignment horizontal="right" vertical="center" wrapText="1"/>
    </xf>
    <xf numFmtId="0" fontId="16" fillId="3" borderId="0" xfId="0" applyFont="1" applyFill="1" applyAlignment="1">
      <alignment horizontal="left" vertical="center" wrapText="1"/>
    </xf>
    <xf numFmtId="0" fontId="48" fillId="8" borderId="1" xfId="0" applyFont="1" applyFill="1" applyBorder="1" applyAlignment="1">
      <alignment horizontal="left" vertical="center" wrapText="1"/>
    </xf>
    <xf numFmtId="0" fontId="57" fillId="3" borderId="8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49" fillId="3" borderId="1" xfId="0" applyFont="1" applyFill="1" applyBorder="1" applyAlignment="1">
      <alignment vertical="center"/>
    </xf>
    <xf numFmtId="166" fontId="49" fillId="3" borderId="1" xfId="0" applyNumberFormat="1" applyFont="1" applyFill="1" applyBorder="1" applyAlignment="1">
      <alignment horizontal="center" vertical="center" wrapText="1"/>
    </xf>
    <xf numFmtId="0" fontId="49" fillId="3" borderId="8" xfId="0" applyFont="1" applyFill="1" applyBorder="1" applyAlignment="1">
      <alignment horizontal="center" vertical="center" wrapText="1"/>
    </xf>
    <xf numFmtId="4" fontId="49" fillId="3" borderId="1" xfId="0" applyNumberFormat="1" applyFont="1" applyFill="1" applyBorder="1" applyAlignment="1">
      <alignment horizontal="center" vertical="center" wrapText="1"/>
    </xf>
    <xf numFmtId="3" fontId="49" fillId="3" borderId="8" xfId="0" applyNumberFormat="1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wrapText="1"/>
    </xf>
    <xf numFmtId="4" fontId="49" fillId="3" borderId="1" xfId="0" applyNumberFormat="1" applyFont="1" applyFill="1" applyBorder="1" applyAlignment="1">
      <alignment horizontal="right" vertical="center" wrapText="1"/>
    </xf>
    <xf numFmtId="166" fontId="49" fillId="3" borderId="8" xfId="0" applyNumberFormat="1" applyFont="1" applyFill="1" applyBorder="1" applyAlignment="1">
      <alignment horizontal="center" vertical="center" wrapText="1"/>
    </xf>
    <xf numFmtId="166" fontId="49" fillId="3" borderId="30" xfId="0" applyNumberFormat="1" applyFont="1" applyFill="1" applyBorder="1" applyAlignment="1">
      <alignment horizontal="center" vertical="center" wrapText="1"/>
    </xf>
    <xf numFmtId="43" fontId="49" fillId="3" borderId="1" xfId="1" applyFont="1" applyFill="1" applyBorder="1" applyAlignment="1">
      <alignment horizontal="center" vertical="center"/>
    </xf>
    <xf numFmtId="4" fontId="49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0" fontId="33" fillId="0" borderId="39" xfId="0" applyNumberFormat="1" applyFont="1" applyBorder="1" applyAlignment="1">
      <alignment horizontal="center" vertical="center" wrapText="1"/>
    </xf>
    <xf numFmtId="170" fontId="5" fillId="3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49" fillId="3" borderId="1" xfId="0" applyNumberFormat="1" applyFont="1" applyFill="1" applyBorder="1" applyAlignment="1">
      <alignment horizontal="center" vertical="center" wrapText="1"/>
    </xf>
    <xf numFmtId="166" fontId="33" fillId="3" borderId="8" xfId="0" applyNumberFormat="1" applyFont="1" applyFill="1" applyBorder="1" applyAlignment="1">
      <alignment horizontal="center" vertical="center" wrapText="1"/>
    </xf>
    <xf numFmtId="166" fontId="33" fillId="3" borderId="30" xfId="0" applyNumberFormat="1" applyFont="1" applyFill="1" applyBorder="1" applyAlignment="1">
      <alignment horizontal="center" vertical="center" wrapText="1"/>
    </xf>
    <xf numFmtId="4" fontId="33" fillId="3" borderId="8" xfId="0" applyNumberFormat="1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51" fillId="3" borderId="1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vertical="center"/>
    </xf>
    <xf numFmtId="14" fontId="33" fillId="3" borderId="8" xfId="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3" fontId="49" fillId="3" borderId="8" xfId="1" applyFont="1" applyFill="1" applyBorder="1" applyAlignment="1">
      <alignment horizontal="right" vertical="center" wrapText="1"/>
    </xf>
    <xf numFmtId="43" fontId="49" fillId="8" borderId="8" xfId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14" fontId="5" fillId="3" borderId="8" xfId="0" applyNumberFormat="1" applyFont="1" applyFill="1" applyBorder="1"/>
    <xf numFmtId="0" fontId="35" fillId="3" borderId="8" xfId="0" applyFont="1" applyFill="1" applyBorder="1" applyAlignment="1">
      <alignment vertical="center" wrapText="1"/>
    </xf>
    <xf numFmtId="0" fontId="33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4" fontId="4" fillId="2" borderId="6" xfId="0" applyNumberFormat="1" applyFont="1" applyFill="1" applyBorder="1" applyAlignment="1">
      <alignment horizontal="right" vertical="center"/>
    </xf>
    <xf numFmtId="4" fontId="1" fillId="4" borderId="11" xfId="0" applyNumberFormat="1" applyFont="1" applyFill="1" applyBorder="1" applyAlignment="1">
      <alignment horizontal="right" vertical="center"/>
    </xf>
    <xf numFmtId="43" fontId="5" fillId="3" borderId="0" xfId="1" applyFont="1" applyFill="1" applyAlignment="1">
      <alignment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35" fillId="3" borderId="8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166" fontId="49" fillId="0" borderId="39" xfId="0" applyNumberFormat="1" applyFont="1" applyBorder="1" applyAlignment="1">
      <alignment horizontal="center" vertical="center"/>
    </xf>
    <xf numFmtId="166" fontId="49" fillId="6" borderId="39" xfId="0" applyNumberFormat="1" applyFont="1" applyFill="1" applyBorder="1" applyAlignment="1">
      <alignment horizontal="center" vertical="center"/>
    </xf>
    <xf numFmtId="170" fontId="49" fillId="0" borderId="39" xfId="0" applyNumberFormat="1" applyFont="1" applyBorder="1" applyAlignment="1">
      <alignment horizontal="center" vertical="center" wrapText="1"/>
    </xf>
    <xf numFmtId="43" fontId="49" fillId="3" borderId="8" xfId="1" applyFont="1" applyFill="1" applyBorder="1" applyAlignment="1">
      <alignment horizontal="center" vertical="center" wrapText="1"/>
    </xf>
    <xf numFmtId="170" fontId="49" fillId="3" borderId="8" xfId="0" applyNumberFormat="1" applyFont="1" applyFill="1" applyBorder="1" applyAlignment="1">
      <alignment horizontal="center" vertical="center" wrapText="1"/>
    </xf>
    <xf numFmtId="4" fontId="58" fillId="0" borderId="39" xfId="0" applyNumberFormat="1" applyFont="1" applyBorder="1" applyAlignment="1">
      <alignment horizontal="right" vertical="center" wrapText="1"/>
    </xf>
    <xf numFmtId="0" fontId="59" fillId="3" borderId="40" xfId="0" applyFont="1" applyFill="1" applyBorder="1" applyAlignment="1">
      <alignment horizontal="left" vertical="center" wrapText="1"/>
    </xf>
    <xf numFmtId="170" fontId="49" fillId="3" borderId="39" xfId="0" applyNumberFormat="1" applyFont="1" applyFill="1" applyBorder="1" applyAlignment="1">
      <alignment horizontal="center" vertical="center" wrapText="1"/>
    </xf>
    <xf numFmtId="167" fontId="58" fillId="3" borderId="1" xfId="1" applyNumberFormat="1" applyFont="1" applyFill="1" applyBorder="1" applyAlignment="1">
      <alignment horizontal="center" vertical="center" wrapText="1"/>
    </xf>
    <xf numFmtId="0" fontId="49" fillId="3" borderId="0" xfId="0" applyFont="1" applyFill="1" applyAlignment="1">
      <alignment horizontal="left" vertical="center" wrapText="1"/>
    </xf>
    <xf numFmtId="0" fontId="49" fillId="3" borderId="0" xfId="0" applyFont="1" applyFill="1" applyAlignment="1">
      <alignment horizontal="center" vertical="center" wrapText="1"/>
    </xf>
    <xf numFmtId="0" fontId="58" fillId="3" borderId="0" xfId="0" applyFont="1" applyFill="1" applyAlignment="1">
      <alignment horizontal="center" vertical="center" wrapText="1"/>
    </xf>
    <xf numFmtId="0" fontId="49" fillId="3" borderId="0" xfId="0" applyFont="1" applyFill="1" applyAlignment="1">
      <alignment horizontal="center" vertical="center"/>
    </xf>
    <xf numFmtId="4" fontId="60" fillId="2" borderId="6" xfId="0" applyNumberFormat="1" applyFont="1" applyFill="1" applyBorder="1" applyAlignment="1">
      <alignment horizontal="right" vertical="center"/>
    </xf>
    <xf numFmtId="0" fontId="61" fillId="0" borderId="39" xfId="0" applyFont="1" applyBorder="1" applyAlignment="1">
      <alignment horizontal="center" vertical="center" wrapText="1"/>
    </xf>
    <xf numFmtId="1" fontId="61" fillId="0" borderId="39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62" fillId="3" borderId="1" xfId="0" applyFont="1" applyFill="1" applyBorder="1"/>
    <xf numFmtId="166" fontId="62" fillId="3" borderId="1" xfId="0" applyNumberFormat="1" applyFont="1" applyFill="1" applyBorder="1" applyAlignment="1">
      <alignment horizontal="center"/>
    </xf>
    <xf numFmtId="0" fontId="62" fillId="3" borderId="1" xfId="0" applyFont="1" applyFill="1" applyBorder="1" applyAlignment="1">
      <alignment horizontal="center" vertical="center"/>
    </xf>
    <xf numFmtId="166" fontId="62" fillId="3" borderId="1" xfId="0" applyNumberFormat="1" applyFont="1" applyFill="1" applyBorder="1"/>
    <xf numFmtId="167" fontId="62" fillId="3" borderId="1" xfId="1" applyNumberFormat="1" applyFont="1" applyFill="1" applyBorder="1" applyAlignment="1">
      <alignment horizontal="center" vertical="center" wrapText="1"/>
    </xf>
    <xf numFmtId="43" fontId="47" fillId="3" borderId="1" xfId="1" applyFont="1" applyFill="1" applyBorder="1" applyAlignment="1"/>
    <xf numFmtId="164" fontId="62" fillId="3" borderId="1" xfId="3" applyFont="1" applyFill="1" applyBorder="1" applyAlignment="1">
      <alignment horizontal="left" vertical="center" wrapText="1"/>
    </xf>
    <xf numFmtId="167" fontId="62" fillId="3" borderId="1" xfId="0" applyNumberFormat="1" applyFont="1" applyFill="1" applyBorder="1" applyAlignment="1">
      <alignment horizontal="center" vertical="center" wrapText="1"/>
    </xf>
    <xf numFmtId="43" fontId="62" fillId="3" borderId="1" xfId="1" applyFont="1" applyFill="1" applyBorder="1" applyAlignment="1">
      <alignment horizontal="left" vertical="center" wrapText="1"/>
    </xf>
    <xf numFmtId="43" fontId="62" fillId="3" borderId="1" xfId="1" applyFont="1" applyFill="1" applyBorder="1" applyAlignment="1">
      <alignment horizontal="right" vertical="center" wrapText="1"/>
    </xf>
    <xf numFmtId="0" fontId="63" fillId="3" borderId="8" xfId="0" applyFont="1" applyFill="1" applyBorder="1" applyAlignment="1">
      <alignment horizontal="left" vertical="center" wrapText="1"/>
    </xf>
    <xf numFmtId="166" fontId="63" fillId="3" borderId="1" xfId="0" applyNumberFormat="1" applyFont="1" applyFill="1" applyBorder="1" applyAlignment="1">
      <alignment horizontal="center" vertical="center"/>
    </xf>
    <xf numFmtId="1" fontId="63" fillId="3" borderId="8" xfId="0" applyNumberFormat="1" applyFont="1" applyFill="1" applyBorder="1" applyAlignment="1">
      <alignment horizontal="center" vertical="center"/>
    </xf>
    <xf numFmtId="166" fontId="63" fillId="3" borderId="8" xfId="0" applyNumberFormat="1" applyFont="1" applyFill="1" applyBorder="1" applyAlignment="1">
      <alignment horizontal="center" vertical="center" wrapText="1"/>
    </xf>
    <xf numFmtId="0" fontId="63" fillId="3" borderId="8" xfId="0" applyFont="1" applyFill="1" applyBorder="1" applyAlignment="1">
      <alignment horizontal="center" vertical="center" wrapText="1"/>
    </xf>
    <xf numFmtId="4" fontId="64" fillId="3" borderId="8" xfId="0" applyNumberFormat="1" applyFont="1" applyFill="1" applyBorder="1" applyAlignment="1">
      <alignment horizontal="center" vertical="center" wrapText="1"/>
    </xf>
    <xf numFmtId="4" fontId="63" fillId="3" borderId="8" xfId="0" applyNumberFormat="1" applyFont="1" applyFill="1" applyBorder="1" applyAlignment="1">
      <alignment horizontal="center" vertical="center" wrapText="1"/>
    </xf>
    <xf numFmtId="43" fontId="63" fillId="3" borderId="8" xfId="1" applyFont="1" applyFill="1" applyBorder="1" applyAlignment="1">
      <alignment horizontal="center" vertical="center" wrapText="1"/>
    </xf>
    <xf numFmtId="166" fontId="63" fillId="3" borderId="8" xfId="0" applyNumberFormat="1" applyFont="1" applyFill="1" applyBorder="1" applyAlignment="1">
      <alignment horizontal="center" vertical="center"/>
    </xf>
    <xf numFmtId="0" fontId="65" fillId="3" borderId="8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166" fontId="33" fillId="3" borderId="1" xfId="0" applyNumberFormat="1" applyFont="1" applyFill="1" applyBorder="1" applyAlignment="1">
      <alignment horizontal="center" vertical="center"/>
    </xf>
    <xf numFmtId="167" fontId="33" fillId="3" borderId="8" xfId="1" applyNumberFormat="1" applyFont="1" applyFill="1" applyBorder="1" applyAlignment="1">
      <alignment horizontal="center" vertical="center"/>
    </xf>
    <xf numFmtId="0" fontId="58" fillId="0" borderId="8" xfId="0" applyFont="1" applyFill="1" applyBorder="1" applyAlignment="1">
      <alignment horizontal="left" vertical="center"/>
    </xf>
    <xf numFmtId="14" fontId="49" fillId="0" borderId="8" xfId="0" applyNumberFormat="1" applyFont="1" applyFill="1" applyBorder="1" applyAlignment="1">
      <alignment horizontal="right" vertical="center"/>
    </xf>
    <xf numFmtId="0" fontId="58" fillId="3" borderId="1" xfId="0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4" fontId="58" fillId="3" borderId="1" xfId="0" applyNumberFormat="1" applyFont="1" applyFill="1" applyBorder="1" applyAlignment="1">
      <alignment horizontal="center" vertical="center" wrapText="1"/>
    </xf>
    <xf numFmtId="4" fontId="58" fillId="3" borderId="1" xfId="0" applyNumberFormat="1" applyFont="1" applyFill="1" applyBorder="1" applyAlignment="1">
      <alignment horizontal="right" vertical="center" wrapText="1"/>
    </xf>
    <xf numFmtId="0" fontId="58" fillId="10" borderId="1" xfId="0" applyFont="1" applyFill="1" applyBorder="1" applyAlignment="1">
      <alignment horizontal="left" vertical="center" wrapText="1"/>
    </xf>
    <xf numFmtId="166" fontId="49" fillId="10" borderId="1" xfId="0" applyNumberFormat="1" applyFont="1" applyFill="1" applyBorder="1" applyAlignment="1">
      <alignment horizontal="center" vertical="center"/>
    </xf>
    <xf numFmtId="0" fontId="66" fillId="10" borderId="1" xfId="0" applyFont="1" applyFill="1" applyBorder="1" applyAlignment="1">
      <alignment horizontal="center" vertical="center"/>
    </xf>
    <xf numFmtId="14" fontId="49" fillId="10" borderId="8" xfId="0" applyNumberFormat="1" applyFont="1" applyFill="1" applyBorder="1" applyAlignment="1">
      <alignment horizontal="center" vertical="center"/>
    </xf>
    <xf numFmtId="0" fontId="58" fillId="10" borderId="1" xfId="0" applyFont="1" applyFill="1" applyBorder="1" applyAlignment="1">
      <alignment horizontal="center" vertical="center" wrapText="1"/>
    </xf>
    <xf numFmtId="43" fontId="49" fillId="10" borderId="8" xfId="1" applyFont="1" applyFill="1" applyBorder="1" applyAlignment="1">
      <alignment horizontal="right" vertical="center" wrapText="1"/>
    </xf>
    <xf numFmtId="4" fontId="58" fillId="10" borderId="1" xfId="0" applyNumberFormat="1" applyFont="1" applyFill="1" applyBorder="1" applyAlignment="1">
      <alignment horizontal="center" vertical="center" wrapText="1"/>
    </xf>
    <xf numFmtId="4" fontId="58" fillId="1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33" fillId="0" borderId="39" xfId="0" applyFont="1" applyBorder="1" applyAlignment="1">
      <alignment horizontal="left" vertical="center"/>
    </xf>
    <xf numFmtId="166" fontId="33" fillId="6" borderId="39" xfId="0" applyNumberFormat="1" applyFont="1" applyFill="1" applyBorder="1" applyAlignment="1">
      <alignment horizontal="center" vertical="center"/>
    </xf>
    <xf numFmtId="166" fontId="33" fillId="0" borderId="42" xfId="0" applyNumberFormat="1" applyFont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43" fontId="17" fillId="0" borderId="0" xfId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43" fontId="49" fillId="4" borderId="8" xfId="1" applyFont="1" applyFill="1" applyBorder="1" applyAlignment="1">
      <alignment horizontal="center" vertical="center" wrapText="1"/>
    </xf>
    <xf numFmtId="4" fontId="33" fillId="4" borderId="8" xfId="0" applyNumberFormat="1" applyFont="1" applyFill="1" applyBorder="1" applyAlignment="1">
      <alignment horizontal="left" vertical="center" wrapText="1"/>
    </xf>
    <xf numFmtId="166" fontId="63" fillId="4" borderId="1" xfId="0" applyNumberFormat="1" applyFont="1" applyFill="1" applyBorder="1" applyAlignment="1">
      <alignment horizontal="center" vertical="center"/>
    </xf>
    <xf numFmtId="4" fontId="33" fillId="4" borderId="8" xfId="0" applyNumberFormat="1" applyFont="1" applyFill="1" applyBorder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7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166" fontId="25" fillId="3" borderId="26" xfId="0" applyNumberFormat="1" applyFont="1" applyFill="1" applyBorder="1" applyAlignment="1">
      <alignment horizontal="center" vertical="center"/>
    </xf>
    <xf numFmtId="166" fontId="25" fillId="3" borderId="2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right" vertical="center" wrapText="1"/>
    </xf>
    <xf numFmtId="0" fontId="4" fillId="3" borderId="18" xfId="0" applyFont="1" applyFill="1" applyBorder="1" applyAlignment="1">
      <alignment horizontal="right" vertical="center" wrapText="1"/>
    </xf>
    <xf numFmtId="0" fontId="5" fillId="3" borderId="3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167" fontId="55" fillId="3" borderId="15" xfId="1" applyNumberFormat="1" applyFont="1" applyFill="1" applyBorder="1" applyAlignment="1">
      <alignment horizontal="center" vertical="center"/>
    </xf>
    <xf numFmtId="167" fontId="55" fillId="3" borderId="24" xfId="1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4" fillId="3" borderId="5" xfId="0" applyFont="1" applyFill="1" applyBorder="1" applyAlignment="1">
      <alignment horizontal="center" vertical="center" wrapText="1"/>
    </xf>
    <xf numFmtId="0" fontId="54" fillId="3" borderId="20" xfId="0" applyFont="1" applyFill="1" applyBorder="1" applyAlignment="1">
      <alignment horizontal="center" vertical="center" wrapText="1"/>
    </xf>
    <xf numFmtId="0" fontId="54" fillId="3" borderId="13" xfId="0" applyFont="1" applyFill="1" applyBorder="1" applyAlignment="1">
      <alignment horizontal="center" vertical="center" wrapText="1"/>
    </xf>
    <xf numFmtId="0" fontId="54" fillId="3" borderId="14" xfId="0" applyFont="1" applyFill="1" applyBorder="1" applyAlignment="1">
      <alignment horizontal="center" vertical="center" wrapText="1"/>
    </xf>
    <xf numFmtId="0" fontId="54" fillId="3" borderId="19" xfId="0" applyFont="1" applyFill="1" applyBorder="1" applyAlignment="1">
      <alignment horizontal="center" vertical="center" wrapText="1"/>
    </xf>
    <xf numFmtId="0" fontId="54" fillId="3" borderId="21" xfId="0" applyFont="1" applyFill="1" applyBorder="1" applyAlignment="1">
      <alignment horizontal="center" vertical="center" wrapText="1"/>
    </xf>
    <xf numFmtId="0" fontId="54" fillId="3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right" vertical="center" wrapText="1"/>
    </xf>
    <xf numFmtId="0" fontId="23" fillId="3" borderId="7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54" fillId="3" borderId="9" xfId="0" applyFont="1" applyFill="1" applyBorder="1" applyAlignment="1">
      <alignment horizontal="center" vertical="center" wrapText="1"/>
    </xf>
    <xf numFmtId="0" fontId="54" fillId="3" borderId="11" xfId="0" applyFont="1" applyFill="1" applyBorder="1" applyAlignment="1">
      <alignment horizontal="center" vertical="center" wrapText="1"/>
    </xf>
    <xf numFmtId="166" fontId="55" fillId="3" borderId="26" xfId="0" applyNumberFormat="1" applyFont="1" applyFill="1" applyBorder="1" applyAlignment="1">
      <alignment horizontal="center" vertical="center"/>
    </xf>
    <xf numFmtId="166" fontId="55" fillId="3" borderId="27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66" fontId="25" fillId="3" borderId="15" xfId="0" applyNumberFormat="1" applyFont="1" applyFill="1" applyBorder="1" applyAlignment="1">
      <alignment horizontal="center" vertical="center"/>
    </xf>
    <xf numFmtId="166" fontId="25" fillId="3" borderId="24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right" vertical="center" wrapText="1"/>
    </xf>
    <xf numFmtId="0" fontId="4" fillId="3" borderId="16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2" fillId="0" borderId="0" xfId="0" applyFont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7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8" fillId="3" borderId="11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21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left" vertical="center" wrapText="1"/>
    </xf>
    <xf numFmtId="0" fontId="15" fillId="3" borderId="7" xfId="0" applyFont="1" applyFill="1" applyBorder="1" applyAlignment="1">
      <alignment horizontal="left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166" fontId="25" fillId="3" borderId="9" xfId="0" applyNumberFormat="1" applyFont="1" applyFill="1" applyBorder="1" applyAlignment="1">
      <alignment horizontal="center" vertical="center"/>
    </xf>
    <xf numFmtId="166" fontId="25" fillId="3" borderId="32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166" fontId="25" fillId="3" borderId="11" xfId="0" applyNumberFormat="1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36" fillId="0" borderId="0" xfId="0" applyFont="1" applyAlignment="1">
      <alignment horizontal="center" vertical="center" wrapText="1"/>
    </xf>
    <xf numFmtId="0" fontId="23" fillId="3" borderId="3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4" fontId="39" fillId="2" borderId="39" xfId="0" applyNumberFormat="1" applyFont="1" applyFill="1" applyBorder="1" applyAlignment="1">
      <alignment horizontal="right" vertical="center" wrapText="1"/>
    </xf>
    <xf numFmtId="166" fontId="33" fillId="2" borderId="41" xfId="0" applyNumberFormat="1" applyFont="1" applyFill="1" applyBorder="1" applyAlignment="1">
      <alignment horizontal="center" vertical="center"/>
    </xf>
    <xf numFmtId="166" fontId="33" fillId="2" borderId="39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33" fillId="11" borderId="39" xfId="0" applyNumberFormat="1" applyFont="1" applyFill="1" applyBorder="1" applyAlignment="1">
      <alignment horizontal="center" vertical="center"/>
    </xf>
    <xf numFmtId="1" fontId="61" fillId="11" borderId="39" xfId="0" applyNumberFormat="1" applyFont="1" applyFill="1" applyBorder="1" applyAlignment="1">
      <alignment horizontal="center" vertical="center" wrapText="1"/>
    </xf>
    <xf numFmtId="0" fontId="61" fillId="11" borderId="39" xfId="0" applyFont="1" applyFill="1" applyBorder="1" applyAlignment="1">
      <alignment horizontal="center" vertical="center" wrapText="1"/>
    </xf>
    <xf numFmtId="43" fontId="49" fillId="11" borderId="8" xfId="1" applyFont="1" applyFill="1" applyBorder="1" applyAlignment="1">
      <alignment horizontal="center" vertical="center" wrapText="1"/>
    </xf>
    <xf numFmtId="170" fontId="49" fillId="11" borderId="8" xfId="0" applyNumberFormat="1" applyFont="1" applyFill="1" applyBorder="1" applyAlignment="1">
      <alignment horizontal="center" vertical="center" wrapText="1"/>
    </xf>
    <xf numFmtId="43" fontId="49" fillId="11" borderId="8" xfId="1" applyFont="1" applyFill="1" applyBorder="1" applyAlignment="1">
      <alignment horizontal="right" vertical="center" wrapText="1"/>
    </xf>
    <xf numFmtId="0" fontId="33" fillId="12" borderId="8" xfId="0" applyFont="1" applyFill="1" applyBorder="1" applyAlignment="1">
      <alignment horizontal="center" vertical="center"/>
    </xf>
    <xf numFmtId="0" fontId="62" fillId="12" borderId="1" xfId="0" applyFont="1" applyFill="1" applyBorder="1"/>
    <xf numFmtId="166" fontId="62" fillId="12" borderId="1" xfId="0" applyNumberFormat="1" applyFont="1" applyFill="1" applyBorder="1" applyAlignment="1">
      <alignment horizontal="center"/>
    </xf>
    <xf numFmtId="0" fontId="62" fillId="12" borderId="1" xfId="0" applyFont="1" applyFill="1" applyBorder="1" applyAlignment="1">
      <alignment horizontal="center" vertical="center"/>
    </xf>
    <xf numFmtId="166" fontId="62" fillId="12" borderId="1" xfId="0" applyNumberFormat="1" applyFont="1" applyFill="1" applyBorder="1"/>
    <xf numFmtId="167" fontId="62" fillId="12" borderId="1" xfId="1" applyNumberFormat="1" applyFont="1" applyFill="1" applyBorder="1" applyAlignment="1">
      <alignment horizontal="center" vertical="center" wrapText="1"/>
    </xf>
    <xf numFmtId="43" fontId="47" fillId="12" borderId="1" xfId="1" applyFont="1" applyFill="1" applyBorder="1" applyAlignment="1"/>
    <xf numFmtId="164" fontId="62" fillId="12" borderId="1" xfId="3" applyFont="1" applyFill="1" applyBorder="1" applyAlignment="1">
      <alignment horizontal="left" vertical="center" wrapText="1"/>
    </xf>
    <xf numFmtId="167" fontId="62" fillId="12" borderId="1" xfId="0" applyNumberFormat="1" applyFont="1" applyFill="1" applyBorder="1" applyAlignment="1">
      <alignment horizontal="center" vertical="center" wrapText="1"/>
    </xf>
    <xf numFmtId="43" fontId="62" fillId="12" borderId="1" xfId="1" applyFont="1" applyFill="1" applyBorder="1" applyAlignment="1">
      <alignment horizontal="left" vertical="center" wrapText="1"/>
    </xf>
    <xf numFmtId="43" fontId="62" fillId="12" borderId="1" xfId="1" applyFont="1" applyFill="1" applyBorder="1" applyAlignment="1">
      <alignment horizontal="right" vertical="center" wrapText="1"/>
    </xf>
    <xf numFmtId="0" fontId="35" fillId="12" borderId="8" xfId="0" applyFont="1" applyFill="1" applyBorder="1" applyAlignment="1">
      <alignment horizontal="left" vertical="center" wrapText="1"/>
    </xf>
    <xf numFmtId="0" fontId="0" fillId="12" borderId="0" xfId="0" applyFill="1" applyAlignment="1">
      <alignment horizontal="center" vertical="center"/>
    </xf>
  </cellXfs>
  <cellStyles count="4">
    <cellStyle name="Millares" xfId="1" builtinId="3"/>
    <cellStyle name="Millares 2" xfId="2" xr:uid="{00000000-0005-0000-0000-000001000000}"/>
    <cellStyle name="Millares 3" xfId="3" xr:uid="{00000000-0005-0000-0000-000002000000}"/>
    <cellStyle name="Normal" xfId="0" builtinId="0"/>
  </cellStyles>
  <dxfs count="6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Normal="100" workbookViewId="0">
      <selection activeCell="O22" sqref="O22:O23"/>
    </sheetView>
  </sheetViews>
  <sheetFormatPr baseColWidth="10" defaultColWidth="11.42578125" defaultRowHeight="15" x14ac:dyDescent="0.25"/>
  <cols>
    <col min="1" max="1" width="3.5703125" style="233" customWidth="1"/>
    <col min="2" max="2" width="51.5703125" style="90" customWidth="1"/>
    <col min="3" max="3" width="10.5703125" style="234" bestFit="1" customWidth="1"/>
    <col min="4" max="4" width="11.85546875" style="234" bestFit="1" customWidth="1"/>
    <col min="5" max="5" width="4.5703125" style="234" customWidth="1"/>
    <col min="6" max="6" width="10.28515625" style="234" customWidth="1"/>
    <col min="7" max="7" width="10" style="234" customWidth="1"/>
    <col min="8" max="8" width="4.85546875" style="234" customWidth="1"/>
    <col min="9" max="9" width="7.42578125" style="234" bestFit="1" customWidth="1"/>
    <col min="10" max="10" width="11.5703125" style="34" bestFit="1" customWidth="1"/>
    <col min="11" max="11" width="9" style="233" customWidth="1"/>
    <col min="12" max="12" width="7.140625" style="233" customWidth="1"/>
    <col min="13" max="13" width="14.7109375" style="233" customWidth="1"/>
    <col min="14" max="14" width="11.5703125" style="362" bestFit="1" customWidth="1"/>
    <col min="15" max="15" width="19.28515625" style="94" bestFit="1" customWidth="1"/>
    <col min="16" max="16" width="6.5703125" style="233" customWidth="1"/>
    <col min="17" max="17" width="79.42578125" style="94" bestFit="1" customWidth="1"/>
    <col min="18" max="16384" width="11.42578125" style="233"/>
  </cols>
  <sheetData>
    <row r="1" spans="1:17" x14ac:dyDescent="0.25">
      <c r="A1" s="94" t="s">
        <v>46</v>
      </c>
      <c r="M1" s="233" t="s">
        <v>63</v>
      </c>
      <c r="O1" s="94" t="s">
        <v>64</v>
      </c>
    </row>
    <row r="2" spans="1:17" x14ac:dyDescent="0.25">
      <c r="B2" s="90" t="s">
        <v>47</v>
      </c>
    </row>
    <row r="3" spans="1:17" ht="32.25" thickBot="1" x14ac:dyDescent="0.3">
      <c r="A3" s="484" t="s">
        <v>46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  <c r="Q3" s="94" t="s">
        <v>168</v>
      </c>
    </row>
    <row r="4" spans="1:17" ht="23.25" thickBot="1" x14ac:dyDescent="0.3">
      <c r="A4" s="485"/>
      <c r="B4" s="486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363"/>
      <c r="O4" s="88"/>
      <c r="Q4" s="94" t="s">
        <v>169</v>
      </c>
    </row>
    <row r="5" spans="1:17" ht="39" customHeight="1" thickBot="1" x14ac:dyDescent="0.3">
      <c r="A5" s="490" t="s">
        <v>6</v>
      </c>
      <c r="B5" s="456" t="s">
        <v>8</v>
      </c>
      <c r="C5" s="458" t="s">
        <v>37</v>
      </c>
      <c r="D5" s="459"/>
      <c r="E5" s="492" t="s">
        <v>41</v>
      </c>
      <c r="F5" s="610" t="s">
        <v>167</v>
      </c>
      <c r="G5" s="611"/>
      <c r="H5" s="464" t="s">
        <v>7</v>
      </c>
      <c r="I5" s="450" t="s">
        <v>171</v>
      </c>
      <c r="J5" s="496" t="s">
        <v>2</v>
      </c>
      <c r="K5" s="464" t="s">
        <v>3</v>
      </c>
      <c r="L5" s="464" t="s">
        <v>4</v>
      </c>
      <c r="M5" s="464" t="s">
        <v>5</v>
      </c>
      <c r="N5" s="466" t="s">
        <v>9</v>
      </c>
      <c r="O5" s="482" t="s">
        <v>11</v>
      </c>
      <c r="P5" s="233">
        <v>3</v>
      </c>
      <c r="Q5" s="94" t="s">
        <v>170</v>
      </c>
    </row>
    <row r="6" spans="1:17" ht="15.75" thickBot="1" x14ac:dyDescent="0.3">
      <c r="A6" s="491"/>
      <c r="B6" s="457"/>
      <c r="C6" s="54" t="s">
        <v>38</v>
      </c>
      <c r="D6" s="54" t="s">
        <v>39</v>
      </c>
      <c r="E6" s="493"/>
      <c r="F6" s="5" t="s">
        <v>0</v>
      </c>
      <c r="G6" s="236" t="s">
        <v>1</v>
      </c>
      <c r="H6" s="465"/>
      <c r="I6" s="451"/>
      <c r="J6" s="497"/>
      <c r="K6" s="465"/>
      <c r="L6" s="465"/>
      <c r="M6" s="465"/>
      <c r="N6" s="467"/>
      <c r="O6" s="483"/>
    </row>
    <row r="7" spans="1:17" x14ac:dyDescent="0.25">
      <c r="A7" s="84"/>
      <c r="B7" s="109"/>
      <c r="C7" s="56"/>
      <c r="D7" s="56"/>
      <c r="E7" s="66"/>
      <c r="F7" s="8">
        <v>0</v>
      </c>
      <c r="G7" s="8">
        <v>0</v>
      </c>
      <c r="H7" s="9">
        <f t="shared" ref="H7" si="0">G7-F7+1</f>
        <v>1</v>
      </c>
      <c r="I7" s="9">
        <f t="shared" ref="I7" si="1">H7-3</f>
        <v>-2</v>
      </c>
      <c r="J7" s="32">
        <v>0</v>
      </c>
      <c r="K7" s="32">
        <f>J7/30</f>
        <v>0</v>
      </c>
      <c r="L7" s="9"/>
      <c r="M7" s="10">
        <f>K7*L7</f>
        <v>0</v>
      </c>
      <c r="N7" s="150">
        <f>M7*0.75</f>
        <v>0</v>
      </c>
      <c r="O7" s="91"/>
    </row>
    <row r="8" spans="1:17" s="305" customFormat="1" x14ac:dyDescent="0.25">
      <c r="A8" s="84">
        <v>1</v>
      </c>
      <c r="B8" s="436" t="s">
        <v>136</v>
      </c>
      <c r="C8" s="307"/>
      <c r="D8" s="307"/>
      <c r="E8" s="385">
        <f t="shared" ref="E8:E9" si="2">+D8-C8+1</f>
        <v>1</v>
      </c>
      <c r="F8" s="307">
        <v>45674</v>
      </c>
      <c r="G8" s="307">
        <v>45678</v>
      </c>
      <c r="H8" s="385">
        <f t="shared" ref="H8:H9" si="3">+G8-F8+1</f>
        <v>5</v>
      </c>
      <c r="I8" s="384">
        <f t="shared" ref="I8:I9" si="4">+H8-3</f>
        <v>2</v>
      </c>
      <c r="J8" s="308">
        <v>3102</v>
      </c>
      <c r="K8" s="442">
        <f>J8/22</f>
        <v>141</v>
      </c>
      <c r="L8" s="374">
        <f>+I8</f>
        <v>2</v>
      </c>
      <c r="M8" s="373">
        <f t="shared" ref="M8:M9" si="5">K8*L8</f>
        <v>282</v>
      </c>
      <c r="N8" s="355">
        <f t="shared" ref="N8:N9" si="6">M8*0.75</f>
        <v>211.5</v>
      </c>
      <c r="O8" s="158"/>
      <c r="Q8" s="94"/>
    </row>
    <row r="9" spans="1:17" s="305" customFormat="1" x14ac:dyDescent="0.25">
      <c r="A9" s="84">
        <v>2</v>
      </c>
      <c r="B9" s="436" t="s">
        <v>137</v>
      </c>
      <c r="C9" s="631">
        <v>45684</v>
      </c>
      <c r="D9" s="632">
        <v>45689</v>
      </c>
      <c r="E9" s="635">
        <f t="shared" si="2"/>
        <v>6</v>
      </c>
      <c r="F9" s="634">
        <v>45658</v>
      </c>
      <c r="G9" s="634">
        <v>45677</v>
      </c>
      <c r="H9" s="635">
        <f t="shared" si="3"/>
        <v>20</v>
      </c>
      <c r="I9" s="636">
        <f t="shared" si="4"/>
        <v>17</v>
      </c>
      <c r="J9" s="630">
        <v>5320</v>
      </c>
      <c r="K9" s="637">
        <f>J9/30</f>
        <v>177.33333333333334</v>
      </c>
      <c r="L9" s="638">
        <v>0</v>
      </c>
      <c r="M9" s="637">
        <f t="shared" si="5"/>
        <v>0</v>
      </c>
      <c r="N9" s="639">
        <f t="shared" si="6"/>
        <v>0</v>
      </c>
      <c r="O9" s="443" t="s">
        <v>141</v>
      </c>
      <c r="P9" s="633" t="s">
        <v>166</v>
      </c>
      <c r="Q9" s="94"/>
    </row>
    <row r="10" spans="1:17" s="357" customFormat="1" ht="15.75" thickBot="1" x14ac:dyDescent="0.3">
      <c r="A10" s="84"/>
      <c r="B10" s="376"/>
      <c r="C10" s="370"/>
      <c r="D10" s="371"/>
      <c r="E10" s="372">
        <f t="shared" ref="E10" si="7">+D10-C10+1</f>
        <v>1</v>
      </c>
      <c r="F10" s="370"/>
      <c r="G10" s="370"/>
      <c r="H10" s="377">
        <f t="shared" ref="H10" si="8">+G10-F10+1</f>
        <v>1</v>
      </c>
      <c r="I10" s="378">
        <f t="shared" ref="I10" si="9">H10-3</f>
        <v>-2</v>
      </c>
      <c r="J10" s="375"/>
      <c r="K10" s="373">
        <f t="shared" ref="K10" si="10">J10/30</f>
        <v>0</v>
      </c>
      <c r="L10" s="374"/>
      <c r="M10" s="373">
        <f t="shared" ref="M10" si="11">K10*L10</f>
        <v>0</v>
      </c>
      <c r="N10" s="355">
        <f t="shared" ref="N10" si="12">M10*0.75</f>
        <v>0</v>
      </c>
      <c r="O10" s="158"/>
      <c r="Q10" s="94"/>
    </row>
    <row r="11" spans="1:17" ht="15.75" thickBot="1" x14ac:dyDescent="0.3">
      <c r="A11" s="232"/>
      <c r="B11" s="379"/>
      <c r="C11" s="380"/>
      <c r="D11" s="380"/>
      <c r="E11" s="380"/>
      <c r="F11" s="380"/>
      <c r="G11" s="380"/>
      <c r="H11" s="380"/>
      <c r="I11" s="380"/>
      <c r="J11" s="381"/>
      <c r="K11" s="382"/>
      <c r="L11" s="382"/>
      <c r="M11" s="382"/>
      <c r="N11" s="383">
        <f>SUM(N7:N10)</f>
        <v>211.5</v>
      </c>
      <c r="O11" s="88"/>
    </row>
    <row r="12" spans="1:17" x14ac:dyDescent="0.25">
      <c r="A12" s="469"/>
      <c r="B12" s="47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68"/>
      <c r="O12" s="469"/>
    </row>
    <row r="13" spans="1:17" ht="15.75" thickBot="1" x14ac:dyDescent="0.3">
      <c r="A13" s="471"/>
      <c r="B13" s="475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70"/>
      <c r="O13" s="471"/>
      <c r="P13" s="233">
        <v>1</v>
      </c>
    </row>
    <row r="14" spans="1:17" ht="26.25" customHeight="1" thickBot="1" x14ac:dyDescent="0.3">
      <c r="A14" s="472" t="s">
        <v>6</v>
      </c>
      <c r="B14" s="456" t="s">
        <v>8</v>
      </c>
      <c r="C14" s="458" t="s">
        <v>37</v>
      </c>
      <c r="D14" s="459"/>
      <c r="E14" s="95"/>
      <c r="F14" s="610" t="s">
        <v>167</v>
      </c>
      <c r="G14" s="611"/>
      <c r="H14" s="450" t="s">
        <v>7</v>
      </c>
      <c r="I14" s="235"/>
      <c r="J14" s="462" t="s">
        <v>2</v>
      </c>
      <c r="K14" s="450" t="s">
        <v>3</v>
      </c>
      <c r="L14" s="450" t="s">
        <v>4</v>
      </c>
      <c r="M14" s="450" t="s">
        <v>5</v>
      </c>
      <c r="N14" s="452" t="s">
        <v>10</v>
      </c>
      <c r="O14" s="454" t="s">
        <v>11</v>
      </c>
    </row>
    <row r="15" spans="1:17" ht="25.5" customHeight="1" thickBot="1" x14ac:dyDescent="0.3">
      <c r="A15" s="473"/>
      <c r="B15" s="457"/>
      <c r="C15" s="54" t="s">
        <v>38</v>
      </c>
      <c r="D15" s="54" t="s">
        <v>39</v>
      </c>
      <c r="E15" s="96"/>
      <c r="F15" s="5" t="s">
        <v>0</v>
      </c>
      <c r="G15" s="236" t="s">
        <v>1</v>
      </c>
      <c r="H15" s="451"/>
      <c r="I15" s="231"/>
      <c r="J15" s="463"/>
      <c r="K15" s="451"/>
      <c r="L15" s="451"/>
      <c r="M15" s="451"/>
      <c r="N15" s="453"/>
      <c r="O15" s="455"/>
    </row>
    <row r="16" spans="1:17" s="435" customFormat="1" x14ac:dyDescent="0.25">
      <c r="A16" s="84">
        <v>1</v>
      </c>
      <c r="B16" s="306" t="s">
        <v>139</v>
      </c>
      <c r="C16" s="307">
        <v>45659</v>
      </c>
      <c r="D16" s="307">
        <v>45703</v>
      </c>
      <c r="E16" s="372">
        <f t="shared" ref="E16:E18" si="13">+D16-C16+1</f>
        <v>45</v>
      </c>
      <c r="F16" s="307">
        <v>45659</v>
      </c>
      <c r="G16" s="307">
        <v>45687</v>
      </c>
      <c r="H16" s="372">
        <f t="shared" ref="H16:H18" si="14">+G16-F16+1</f>
        <v>29</v>
      </c>
      <c r="I16" s="372">
        <f t="shared" ref="I16:I18" si="15">+H16</f>
        <v>29</v>
      </c>
      <c r="J16" s="308">
        <v>8194</v>
      </c>
      <c r="K16" s="373">
        <f t="shared" ref="K16:K18" si="16">J16/30</f>
        <v>273.13333333333333</v>
      </c>
      <c r="L16" s="374">
        <f>+I16</f>
        <v>29</v>
      </c>
      <c r="M16" s="373">
        <f t="shared" ref="M16:M18" si="17">K16*L16</f>
        <v>7920.8666666666668</v>
      </c>
      <c r="N16" s="355">
        <f t="shared" ref="N16:N18" si="18">M16*0.9</f>
        <v>7128.7800000000007</v>
      </c>
      <c r="O16" s="314"/>
      <c r="Q16" s="94"/>
    </row>
    <row r="17" spans="1:17" s="435" customFormat="1" x14ac:dyDescent="0.25">
      <c r="A17" s="84">
        <v>2</v>
      </c>
      <c r="B17" s="306" t="s">
        <v>165</v>
      </c>
      <c r="C17" s="307">
        <v>45672</v>
      </c>
      <c r="D17" s="307">
        <v>45716</v>
      </c>
      <c r="E17" s="372">
        <f t="shared" si="13"/>
        <v>45</v>
      </c>
      <c r="F17" s="307">
        <v>45672</v>
      </c>
      <c r="G17" s="307">
        <v>45687</v>
      </c>
      <c r="H17" s="372">
        <f t="shared" si="14"/>
        <v>16</v>
      </c>
      <c r="I17" s="372">
        <f t="shared" si="15"/>
        <v>16</v>
      </c>
      <c r="J17" s="308">
        <v>4230</v>
      </c>
      <c r="K17" s="373">
        <f t="shared" si="16"/>
        <v>141</v>
      </c>
      <c r="L17" s="374">
        <f>+I17</f>
        <v>16</v>
      </c>
      <c r="M17" s="373">
        <f t="shared" si="17"/>
        <v>2256</v>
      </c>
      <c r="N17" s="355">
        <f t="shared" si="18"/>
        <v>2030.4</v>
      </c>
      <c r="O17" s="314"/>
      <c r="Q17" s="94"/>
    </row>
    <row r="18" spans="1:17" s="435" customFormat="1" ht="15.75" thickBot="1" x14ac:dyDescent="0.3">
      <c r="A18" s="84"/>
      <c r="B18" s="306"/>
      <c r="C18" s="307"/>
      <c r="D18" s="437"/>
      <c r="E18" s="372">
        <f t="shared" si="13"/>
        <v>1</v>
      </c>
      <c r="F18" s="307"/>
      <c r="G18" s="307"/>
      <c r="H18" s="372">
        <f t="shared" si="14"/>
        <v>1</v>
      </c>
      <c r="I18" s="372">
        <f t="shared" si="15"/>
        <v>1</v>
      </c>
      <c r="J18" s="308"/>
      <c r="K18" s="373">
        <f t="shared" si="16"/>
        <v>0</v>
      </c>
      <c r="L18" s="374"/>
      <c r="M18" s="373">
        <f t="shared" si="17"/>
        <v>0</v>
      </c>
      <c r="N18" s="355">
        <f t="shared" si="18"/>
        <v>0</v>
      </c>
      <c r="O18" s="314"/>
      <c r="Q18" s="94"/>
    </row>
    <row r="19" spans="1:17" ht="15.75" thickBot="1" x14ac:dyDescent="0.3">
      <c r="A19" s="232"/>
      <c r="B19" s="379"/>
      <c r="C19" s="380"/>
      <c r="D19" s="380"/>
      <c r="E19" s="380"/>
      <c r="F19" s="380"/>
      <c r="G19" s="380"/>
      <c r="H19" s="380"/>
      <c r="I19" s="380"/>
      <c r="J19" s="381"/>
      <c r="K19" s="382"/>
      <c r="L19" s="382"/>
      <c r="M19" s="382"/>
      <c r="N19" s="383">
        <f>SUM(N16:N18)</f>
        <v>9159.18</v>
      </c>
      <c r="O19" s="159"/>
    </row>
    <row r="20" spans="1:17" x14ac:dyDescent="0.25">
      <c r="A20" s="232"/>
      <c r="B20" s="89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363"/>
      <c r="O20" s="88"/>
    </row>
    <row r="21" spans="1:17" ht="15.75" thickBot="1" x14ac:dyDescent="0.3">
      <c r="A21" s="232"/>
      <c r="B21" s="89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363"/>
      <c r="O21" s="93"/>
    </row>
    <row r="22" spans="1:17" ht="20.25" thickBot="1" x14ac:dyDescent="0.3">
      <c r="A22" s="472" t="s">
        <v>6</v>
      </c>
      <c r="B22" s="456" t="s">
        <v>8</v>
      </c>
      <c r="C22" s="458" t="s">
        <v>37</v>
      </c>
      <c r="D22" s="459"/>
      <c r="E22" s="95"/>
      <c r="F22" s="460" t="s">
        <v>14</v>
      </c>
      <c r="G22" s="461"/>
      <c r="H22" s="450" t="s">
        <v>7</v>
      </c>
      <c r="I22" s="235"/>
      <c r="J22" s="462" t="s">
        <v>2</v>
      </c>
      <c r="K22" s="450" t="s">
        <v>3</v>
      </c>
      <c r="L22" s="450" t="s">
        <v>4</v>
      </c>
      <c r="M22" s="450" t="s">
        <v>5</v>
      </c>
      <c r="N22" s="452" t="s">
        <v>10</v>
      </c>
      <c r="O22" s="454" t="s">
        <v>11</v>
      </c>
      <c r="P22" s="233">
        <v>2</v>
      </c>
    </row>
    <row r="23" spans="1:17" ht="15.75" thickBot="1" x14ac:dyDescent="0.3">
      <c r="A23" s="473"/>
      <c r="B23" s="457"/>
      <c r="C23" s="54" t="s">
        <v>38</v>
      </c>
      <c r="D23" s="54" t="s">
        <v>39</v>
      </c>
      <c r="E23" s="96"/>
      <c r="F23" s="5" t="s">
        <v>0</v>
      </c>
      <c r="G23" s="236" t="s">
        <v>1</v>
      </c>
      <c r="H23" s="451"/>
      <c r="I23" s="231"/>
      <c r="J23" s="463"/>
      <c r="K23" s="451"/>
      <c r="L23" s="451"/>
      <c r="M23" s="451"/>
      <c r="N23" s="453"/>
      <c r="O23" s="455"/>
    </row>
    <row r="24" spans="1:17" x14ac:dyDescent="0.25">
      <c r="A24" s="87"/>
      <c r="B24" s="92"/>
      <c r="C24" s="56"/>
      <c r="D24" s="56"/>
      <c r="E24" s="66">
        <f>D24-C24+1</f>
        <v>1</v>
      </c>
      <c r="F24" s="8">
        <v>0</v>
      </c>
      <c r="G24" s="8">
        <v>0</v>
      </c>
      <c r="H24" s="9">
        <f>G24-F24+1</f>
        <v>1</v>
      </c>
      <c r="I24" s="9"/>
      <c r="J24" s="32">
        <v>0</v>
      </c>
      <c r="K24" s="10">
        <f>J24/30</f>
        <v>0</v>
      </c>
      <c r="L24" s="9"/>
      <c r="M24" s="10">
        <f>K24*L24</f>
        <v>0</v>
      </c>
      <c r="N24" s="150">
        <f>M24*0.9</f>
        <v>0</v>
      </c>
      <c r="O24" s="92"/>
    </row>
    <row r="25" spans="1:17" s="344" customFormat="1" x14ac:dyDescent="0.25">
      <c r="A25" s="87">
        <v>1</v>
      </c>
      <c r="B25" s="306" t="s">
        <v>164</v>
      </c>
      <c r="C25" s="307">
        <v>45688</v>
      </c>
      <c r="D25" s="307">
        <v>45688</v>
      </c>
      <c r="E25" s="341"/>
      <c r="F25" s="307">
        <v>45687</v>
      </c>
      <c r="G25" s="438">
        <v>45687</v>
      </c>
      <c r="H25" s="341">
        <f t="shared" ref="H25" si="19">+G25-F25+1</f>
        <v>1</v>
      </c>
      <c r="I25" s="341">
        <f t="shared" ref="I25" si="20">+H25</f>
        <v>1</v>
      </c>
      <c r="J25" s="308">
        <v>4230</v>
      </c>
      <c r="K25" s="10">
        <f t="shared" ref="K25" si="21">J25/30</f>
        <v>141</v>
      </c>
      <c r="L25" s="342">
        <v>0</v>
      </c>
      <c r="M25" s="10">
        <f t="shared" ref="M25" si="22">K25*L25</f>
        <v>0</v>
      </c>
      <c r="N25" s="150">
        <f t="shared" ref="N25" si="23">M25*0.9</f>
        <v>0</v>
      </c>
      <c r="O25" s="439" t="s">
        <v>138</v>
      </c>
      <c r="Q25" s="94"/>
    </row>
    <row r="26" spans="1:17" ht="15.75" thickBot="1" x14ac:dyDescent="0.3">
      <c r="A26" s="87"/>
      <c r="B26" s="306"/>
      <c r="C26" s="307"/>
      <c r="D26" s="307"/>
      <c r="E26" s="341"/>
      <c r="F26" s="307"/>
      <c r="G26" s="307"/>
      <c r="H26" s="341">
        <f t="shared" ref="H26" si="24">+G26-F26+1</f>
        <v>1</v>
      </c>
      <c r="I26" s="341">
        <f t="shared" ref="I26" si="25">+H26</f>
        <v>1</v>
      </c>
      <c r="J26" s="308"/>
      <c r="K26" s="10">
        <f t="shared" ref="K26" si="26">J26/30</f>
        <v>0</v>
      </c>
      <c r="L26" s="342"/>
      <c r="M26" s="10">
        <f>K26*L26</f>
        <v>0</v>
      </c>
      <c r="N26" s="150">
        <f t="shared" ref="N26" si="27">M26*0.9</f>
        <v>0</v>
      </c>
      <c r="O26" s="92"/>
    </row>
    <row r="27" spans="1:17" ht="15.75" thickBot="1" x14ac:dyDescent="0.3">
      <c r="A27" s="232"/>
      <c r="B27" s="89"/>
      <c r="C27" s="18"/>
      <c r="D27" s="18"/>
      <c r="E27" s="18"/>
      <c r="F27" s="18"/>
      <c r="G27" s="18"/>
      <c r="H27" s="18"/>
      <c r="I27" s="18"/>
      <c r="J27" s="33"/>
      <c r="K27" s="232"/>
      <c r="L27" s="232"/>
      <c r="M27" s="232"/>
      <c r="N27" s="364">
        <f>SUM(N24:N26)</f>
        <v>0</v>
      </c>
      <c r="O27" s="88"/>
    </row>
    <row r="28" spans="1:17" ht="15.75" thickBot="1" x14ac:dyDescent="0.3">
      <c r="B28" s="446"/>
      <c r="C28" s="446"/>
      <c r="D28" s="446"/>
      <c r="E28" s="446"/>
      <c r="F28" s="446"/>
      <c r="G28" s="446"/>
      <c r="H28" s="446"/>
      <c r="I28" s="446"/>
      <c r="J28" s="52"/>
    </row>
    <row r="29" spans="1:17" ht="15.75" thickBot="1" x14ac:dyDescent="0.3">
      <c r="B29" s="446"/>
      <c r="C29" s="446"/>
      <c r="D29" s="446"/>
      <c r="E29" s="446"/>
      <c r="F29" s="446"/>
      <c r="G29" s="446"/>
      <c r="H29" s="446"/>
      <c r="I29" s="446"/>
      <c r="J29" s="52"/>
      <c r="K29" s="447" t="s">
        <v>26</v>
      </c>
      <c r="L29" s="448"/>
      <c r="M29" s="449"/>
      <c r="N29" s="365">
        <f>N11+N19+N27</f>
        <v>9370.68</v>
      </c>
      <c r="O29" s="233"/>
    </row>
  </sheetData>
  <sortState xmlns:xlrd2="http://schemas.microsoft.com/office/spreadsheetml/2017/richdata2" ref="B19:N26">
    <sortCondition ref="B19:B26"/>
  </sortState>
  <mergeCells count="44">
    <mergeCell ref="C20:M21"/>
    <mergeCell ref="A22:A23"/>
    <mergeCell ref="O5:O6"/>
    <mergeCell ref="A3:O3"/>
    <mergeCell ref="A4:B4"/>
    <mergeCell ref="C4:M4"/>
    <mergeCell ref="A5:A6"/>
    <mergeCell ref="B5:B6"/>
    <mergeCell ref="C5:D5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N12:O13"/>
    <mergeCell ref="A14:A15"/>
    <mergeCell ref="B14:B15"/>
    <mergeCell ref="C14:D14"/>
    <mergeCell ref="F14:G14"/>
    <mergeCell ref="H14:H15"/>
    <mergeCell ref="J14:J15"/>
    <mergeCell ref="K14:K15"/>
    <mergeCell ref="L14:L15"/>
    <mergeCell ref="M14:M15"/>
    <mergeCell ref="N14:N15"/>
    <mergeCell ref="O14:O15"/>
    <mergeCell ref="A12:B13"/>
    <mergeCell ref="C12:M13"/>
    <mergeCell ref="N22:N23"/>
    <mergeCell ref="O22:O23"/>
    <mergeCell ref="B22:B23"/>
    <mergeCell ref="C22:D22"/>
    <mergeCell ref="F22:G22"/>
    <mergeCell ref="H22:H23"/>
    <mergeCell ref="J22:J23"/>
    <mergeCell ref="B28:I29"/>
    <mergeCell ref="K29:M29"/>
    <mergeCell ref="K22:K23"/>
    <mergeCell ref="L22:L23"/>
    <mergeCell ref="M22:M23"/>
  </mergeCells>
  <conditionalFormatting sqref="B16">
    <cfRule type="duplicateValues" dxfId="5" priority="9"/>
  </conditionalFormatting>
  <conditionalFormatting sqref="B17:B18">
    <cfRule type="duplicateValues" dxfId="4" priority="10"/>
    <cfRule type="duplicateValues" dxfId="3" priority="11"/>
  </conditionalFormatting>
  <conditionalFormatting sqref="B25">
    <cfRule type="duplicateValues" dxfId="2" priority="5"/>
    <cfRule type="duplicateValues" dxfId="1" priority="20"/>
  </conditionalFormatting>
  <conditionalFormatting sqref="B26">
    <cfRule type="duplicateValues" dxfId="0" priority="19"/>
  </conditionalFormatting>
  <pageMargins left="0.9055118110236221" right="0.31496062992125984" top="0.94488188976377963" bottom="0.15748031496062992" header="0.31496062992125984" footer="0.31496062992125984"/>
  <pageSetup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"/>
  <sheetViews>
    <sheetView view="pageBreakPreview" zoomScaleNormal="85" zoomScaleSheetLayoutView="100" workbookViewId="0">
      <selection activeCell="G7" sqref="G7"/>
    </sheetView>
  </sheetViews>
  <sheetFormatPr baseColWidth="10" defaultColWidth="11.42578125" defaultRowHeight="15" x14ac:dyDescent="0.25"/>
  <cols>
    <col min="1" max="1" width="3.5703125" style="85" customWidth="1"/>
    <col min="2" max="2" width="34.7109375" style="90" bestFit="1" customWidth="1"/>
    <col min="3" max="4" width="11.42578125" style="1"/>
    <col min="5" max="5" width="5.28515625" style="1" bestFit="1" customWidth="1"/>
    <col min="6" max="6" width="10.28515625" style="1" customWidth="1"/>
    <col min="7" max="7" width="10" style="1" customWidth="1"/>
    <col min="8" max="8" width="4.85546875" style="1" customWidth="1"/>
    <col min="9" max="9" width="10.28515625" style="1" customWidth="1"/>
    <col min="10" max="10" width="11.42578125" style="34"/>
    <col min="11" max="11" width="11.42578125" style="85" customWidth="1"/>
    <col min="12" max="12" width="6.42578125" style="85" customWidth="1"/>
    <col min="13" max="13" width="10.140625" style="85" bestFit="1" customWidth="1"/>
    <col min="14" max="14" width="15" style="85" bestFit="1" customWidth="1"/>
    <col min="15" max="15" width="17.28515625" style="94" bestFit="1" customWidth="1"/>
    <col min="16" max="16384" width="11.42578125" style="85"/>
  </cols>
  <sheetData>
    <row r="1" spans="1:15" x14ac:dyDescent="0.25">
      <c r="A1" s="502" t="s">
        <v>46</v>
      </c>
      <c r="B1" s="502"/>
      <c r="N1" s="248" t="s">
        <v>63</v>
      </c>
      <c r="O1" s="249" t="s">
        <v>72</v>
      </c>
    </row>
    <row r="2" spans="1:15" x14ac:dyDescent="0.25">
      <c r="A2" s="503" t="s">
        <v>47</v>
      </c>
      <c r="B2" s="503"/>
    </row>
    <row r="3" spans="1:15" ht="32.25" thickBot="1" x14ac:dyDescent="0.3">
      <c r="A3" s="484" t="s">
        <v>16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</row>
    <row r="4" spans="1:15" ht="23.25" thickBot="1" x14ac:dyDescent="0.3">
      <c r="A4" s="83"/>
      <c r="B4" s="89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83"/>
      <c r="O4" s="88"/>
    </row>
    <row r="5" spans="1:15" ht="29.25" customHeight="1" thickBot="1" x14ac:dyDescent="0.3">
      <c r="A5" s="490" t="s">
        <v>6</v>
      </c>
      <c r="B5" s="450" t="s">
        <v>8</v>
      </c>
      <c r="C5" s="458" t="s">
        <v>37</v>
      </c>
      <c r="D5" s="459"/>
      <c r="E5" s="492" t="s">
        <v>41</v>
      </c>
      <c r="F5" s="610" t="s">
        <v>167</v>
      </c>
      <c r="G5" s="611"/>
      <c r="H5" s="464" t="s">
        <v>7</v>
      </c>
      <c r="I5" s="450" t="s">
        <v>172</v>
      </c>
      <c r="J5" s="496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500" t="s">
        <v>11</v>
      </c>
    </row>
    <row r="6" spans="1:15" ht="15.75" thickBot="1" x14ac:dyDescent="0.3">
      <c r="A6" s="491"/>
      <c r="B6" s="451"/>
      <c r="C6" s="54" t="s">
        <v>38</v>
      </c>
      <c r="D6" s="54" t="s">
        <v>39</v>
      </c>
      <c r="E6" s="493"/>
      <c r="F6" s="5" t="s">
        <v>0</v>
      </c>
      <c r="G6" s="25" t="s">
        <v>1</v>
      </c>
      <c r="H6" s="465"/>
      <c r="I6" s="451"/>
      <c r="J6" s="497"/>
      <c r="K6" s="465"/>
      <c r="L6" s="465"/>
      <c r="M6" s="465"/>
      <c r="N6" s="499"/>
      <c r="O6" s="501"/>
    </row>
    <row r="7" spans="1:15" s="652" customFormat="1" ht="15.75" x14ac:dyDescent="0.25">
      <c r="A7" s="640">
        <v>3</v>
      </c>
      <c r="B7" s="641" t="s">
        <v>121</v>
      </c>
      <c r="C7" s="642">
        <v>45664</v>
      </c>
      <c r="D7" s="642">
        <v>45688</v>
      </c>
      <c r="E7" s="643">
        <f t="shared" ref="E7:E8" si="0">D7-C7+1</f>
        <v>25</v>
      </c>
      <c r="F7" s="644">
        <v>45664</v>
      </c>
      <c r="G7" s="644">
        <v>45687</v>
      </c>
      <c r="H7" s="645">
        <f t="shared" ref="H7:H8" si="1">G7-F7+1</f>
        <v>24</v>
      </c>
      <c r="I7" s="645">
        <f t="shared" ref="I7:I8" si="2">H7-3</f>
        <v>21</v>
      </c>
      <c r="J7" s="646">
        <v>13489</v>
      </c>
      <c r="K7" s="647">
        <f t="shared" ref="K7:K8" si="3">J7/30</f>
        <v>449.63333333333333</v>
      </c>
      <c r="L7" s="648">
        <f>+I7</f>
        <v>21</v>
      </c>
      <c r="M7" s="649">
        <f t="shared" ref="M7:M8" si="4">K7*L7</f>
        <v>9442.2999999999993</v>
      </c>
      <c r="N7" s="650">
        <f t="shared" ref="N7:N8" si="5">M7*0.75</f>
        <v>7081.7249999999995</v>
      </c>
      <c r="O7" s="651"/>
    </row>
    <row r="8" spans="1:15" s="361" customFormat="1" ht="16.5" thickBot="1" x14ac:dyDescent="0.3">
      <c r="A8" s="417">
        <v>4</v>
      </c>
      <c r="B8" s="397" t="s">
        <v>103</v>
      </c>
      <c r="C8" s="398">
        <v>45649</v>
      </c>
      <c r="D8" s="398">
        <v>45664</v>
      </c>
      <c r="E8" s="399">
        <f t="shared" si="0"/>
        <v>16</v>
      </c>
      <c r="F8" s="400">
        <v>45658</v>
      </c>
      <c r="G8" s="400">
        <v>45664</v>
      </c>
      <c r="H8" s="401">
        <f t="shared" si="1"/>
        <v>7</v>
      </c>
      <c r="I8" s="401">
        <f t="shared" si="2"/>
        <v>4</v>
      </c>
      <c r="J8" s="402">
        <v>15560</v>
      </c>
      <c r="K8" s="403">
        <f>J8/30</f>
        <v>518.66666666666663</v>
      </c>
      <c r="L8" s="404">
        <v>7</v>
      </c>
      <c r="M8" s="405">
        <f t="shared" si="4"/>
        <v>3630.6666666666665</v>
      </c>
      <c r="N8" s="406">
        <f t="shared" si="5"/>
        <v>2723</v>
      </c>
      <c r="O8" s="165"/>
    </row>
    <row r="9" spans="1:15" ht="15.75" thickBot="1" x14ac:dyDescent="0.3">
      <c r="A9" s="176"/>
      <c r="B9" s="177"/>
      <c r="C9" s="18"/>
      <c r="D9" s="18"/>
      <c r="E9" s="18"/>
      <c r="F9" s="18"/>
      <c r="G9" s="18"/>
      <c r="H9" s="18"/>
      <c r="I9" s="18"/>
      <c r="J9" s="33"/>
      <c r="K9" s="83"/>
      <c r="L9" s="83"/>
      <c r="M9" s="83"/>
      <c r="N9" s="223">
        <f>SUM(N7:N8)</f>
        <v>9804.7249999999985</v>
      </c>
      <c r="O9" s="88"/>
    </row>
    <row r="10" spans="1:15" x14ac:dyDescent="0.25">
      <c r="A10" s="504"/>
      <c r="B10" s="505"/>
      <c r="C10" s="476" t="s">
        <v>13</v>
      </c>
      <c r="D10" s="477"/>
      <c r="E10" s="477"/>
      <c r="F10" s="477"/>
      <c r="G10" s="477"/>
      <c r="H10" s="477"/>
      <c r="I10" s="477"/>
      <c r="J10" s="477"/>
      <c r="K10" s="477"/>
      <c r="L10" s="477"/>
      <c r="M10" s="478"/>
      <c r="N10" s="468"/>
      <c r="O10" s="469"/>
    </row>
    <row r="11" spans="1:15" ht="12" customHeight="1" thickBot="1" x14ac:dyDescent="0.3">
      <c r="A11" s="506"/>
      <c r="B11" s="507"/>
      <c r="C11" s="479"/>
      <c r="D11" s="480"/>
      <c r="E11" s="480"/>
      <c r="F11" s="480"/>
      <c r="G11" s="480"/>
      <c r="H11" s="480"/>
      <c r="I11" s="480"/>
      <c r="J11" s="480"/>
      <c r="K11" s="480"/>
      <c r="L11" s="480"/>
      <c r="M11" s="481"/>
      <c r="N11" s="470"/>
      <c r="O11" s="471"/>
    </row>
    <row r="12" spans="1:15" ht="26.25" customHeight="1" thickBot="1" x14ac:dyDescent="0.3">
      <c r="A12" s="472" t="s">
        <v>6</v>
      </c>
      <c r="B12" s="456" t="s">
        <v>8</v>
      </c>
      <c r="C12" s="458" t="s">
        <v>37</v>
      </c>
      <c r="D12" s="459"/>
      <c r="E12" s="95"/>
      <c r="F12" s="460" t="s">
        <v>14</v>
      </c>
      <c r="G12" s="461"/>
      <c r="H12" s="450" t="s">
        <v>7</v>
      </c>
      <c r="I12" s="20"/>
      <c r="J12" s="462" t="s">
        <v>2</v>
      </c>
      <c r="K12" s="450" t="s">
        <v>3</v>
      </c>
      <c r="L12" s="450" t="s">
        <v>4</v>
      </c>
      <c r="M12" s="450" t="s">
        <v>5</v>
      </c>
      <c r="N12" s="450" t="s">
        <v>10</v>
      </c>
      <c r="O12" s="454" t="s">
        <v>11</v>
      </c>
    </row>
    <row r="13" spans="1:15" ht="15.75" thickBot="1" x14ac:dyDescent="0.3">
      <c r="A13" s="473"/>
      <c r="B13" s="457"/>
      <c r="C13" s="54" t="s">
        <v>38</v>
      </c>
      <c r="D13" s="54" t="s">
        <v>39</v>
      </c>
      <c r="E13" s="96"/>
      <c r="F13" s="5" t="s">
        <v>0</v>
      </c>
      <c r="G13" s="25" t="s">
        <v>1</v>
      </c>
      <c r="H13" s="451"/>
      <c r="I13" s="24"/>
      <c r="J13" s="463"/>
      <c r="K13" s="451"/>
      <c r="L13" s="451"/>
      <c r="M13" s="451"/>
      <c r="N13" s="451"/>
      <c r="O13" s="455"/>
    </row>
    <row r="14" spans="1:15" x14ac:dyDescent="0.25">
      <c r="A14" s="35"/>
      <c r="B14" s="92"/>
      <c r="C14" s="55"/>
      <c r="D14" s="55"/>
      <c r="E14" s="66">
        <f>D14-C14+1</f>
        <v>1</v>
      </c>
      <c r="F14" s="8">
        <v>0</v>
      </c>
      <c r="G14" s="8">
        <v>0</v>
      </c>
      <c r="H14" s="9">
        <f t="shared" ref="H14:H16" si="6">G14-F14+1</f>
        <v>1</v>
      </c>
      <c r="I14" s="9"/>
      <c r="J14" s="32">
        <v>0</v>
      </c>
      <c r="K14" s="10">
        <f t="shared" ref="K14:K16" si="7">J14/30</f>
        <v>0</v>
      </c>
      <c r="L14" s="9"/>
      <c r="M14" s="10">
        <f>K14*L14</f>
        <v>0</v>
      </c>
      <c r="N14" s="10">
        <f>M14*0.9</f>
        <v>0</v>
      </c>
      <c r="O14" s="36"/>
    </row>
    <row r="15" spans="1:15" s="340" customFormat="1" ht="15.75" x14ac:dyDescent="0.25">
      <c r="A15" s="417">
        <v>1</v>
      </c>
      <c r="B15" s="407" t="s">
        <v>122</v>
      </c>
      <c r="C15" s="408">
        <v>45639</v>
      </c>
      <c r="D15" s="444">
        <v>45728</v>
      </c>
      <c r="E15" s="409">
        <f t="shared" ref="E15:E16" si="8">+D15-C15+1</f>
        <v>90</v>
      </c>
      <c r="F15" s="410">
        <v>45658</v>
      </c>
      <c r="G15" s="410">
        <v>45687</v>
      </c>
      <c r="H15" s="411">
        <f t="shared" si="6"/>
        <v>30</v>
      </c>
      <c r="I15" s="411"/>
      <c r="J15" s="412">
        <v>8268</v>
      </c>
      <c r="K15" s="413">
        <f t="shared" si="7"/>
        <v>275.60000000000002</v>
      </c>
      <c r="L15" s="411">
        <f>+H15</f>
        <v>30</v>
      </c>
      <c r="M15" s="413">
        <f t="shared" ref="M15:M16" si="9">+L15*K15</f>
        <v>8268</v>
      </c>
      <c r="N15" s="414">
        <f t="shared" ref="N15:N16" si="10">+M15*0.9</f>
        <v>7441.2</v>
      </c>
      <c r="O15" s="36"/>
    </row>
    <row r="16" spans="1:15" s="340" customFormat="1" ht="15.75" thickBot="1" x14ac:dyDescent="0.3">
      <c r="A16" s="84"/>
      <c r="B16" s="251"/>
      <c r="C16" s="351"/>
      <c r="D16" s="351"/>
      <c r="E16" s="252">
        <f t="shared" si="8"/>
        <v>1</v>
      </c>
      <c r="F16" s="253"/>
      <c r="G16" s="253"/>
      <c r="H16" s="254">
        <f t="shared" si="6"/>
        <v>1</v>
      </c>
      <c r="I16" s="254"/>
      <c r="J16" s="255"/>
      <c r="K16" s="256">
        <f t="shared" si="7"/>
        <v>0</v>
      </c>
      <c r="L16" s="254"/>
      <c r="M16" s="256">
        <f t="shared" si="9"/>
        <v>0</v>
      </c>
      <c r="N16" s="257">
        <f t="shared" si="10"/>
        <v>0</v>
      </c>
      <c r="O16" s="316"/>
    </row>
    <row r="17" spans="1:15" ht="15.75" thickBot="1" x14ac:dyDescent="0.3">
      <c r="A17" s="83"/>
      <c r="B17" s="89"/>
      <c r="C17" s="18"/>
      <c r="D17" s="18"/>
      <c r="E17" s="18"/>
      <c r="F17" s="18"/>
      <c r="G17" s="18"/>
      <c r="H17" s="18"/>
      <c r="I17" s="18"/>
      <c r="J17" s="33"/>
      <c r="K17" s="83"/>
      <c r="L17" s="83"/>
      <c r="M17" s="83"/>
      <c r="N17" s="86">
        <f>SUM(N14:N16)</f>
        <v>7441.2</v>
      </c>
      <c r="O17" s="159"/>
    </row>
    <row r="18" spans="1:15" ht="15" customHeight="1" x14ac:dyDescent="0.25">
      <c r="A18" s="83"/>
      <c r="B18" s="89"/>
      <c r="C18" s="476" t="s">
        <v>25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8"/>
      <c r="N18" s="83"/>
      <c r="O18" s="88"/>
    </row>
    <row r="19" spans="1:15" ht="12.75" customHeight="1" thickBot="1" x14ac:dyDescent="0.3">
      <c r="A19" s="83"/>
      <c r="B19" s="89"/>
      <c r="C19" s="479"/>
      <c r="D19" s="480"/>
      <c r="E19" s="480"/>
      <c r="F19" s="480"/>
      <c r="G19" s="480"/>
      <c r="H19" s="480"/>
      <c r="I19" s="480"/>
      <c r="J19" s="480"/>
      <c r="K19" s="480"/>
      <c r="L19" s="480"/>
      <c r="M19" s="481"/>
      <c r="N19" s="83"/>
      <c r="O19" s="93"/>
    </row>
    <row r="20" spans="1:15" ht="29.25" customHeight="1" thickBot="1" x14ac:dyDescent="0.3">
      <c r="A20" s="472" t="s">
        <v>6</v>
      </c>
      <c r="B20" s="456" t="s">
        <v>8</v>
      </c>
      <c r="C20" s="458" t="s">
        <v>37</v>
      </c>
      <c r="D20" s="459"/>
      <c r="E20" s="95"/>
      <c r="F20" s="460" t="s">
        <v>14</v>
      </c>
      <c r="G20" s="461"/>
      <c r="H20" s="450" t="s">
        <v>7</v>
      </c>
      <c r="I20" s="20"/>
      <c r="J20" s="462" t="s">
        <v>2</v>
      </c>
      <c r="K20" s="450" t="s">
        <v>3</v>
      </c>
      <c r="L20" s="450" t="s">
        <v>4</v>
      </c>
      <c r="M20" s="450" t="s">
        <v>5</v>
      </c>
      <c r="N20" s="450" t="s">
        <v>10</v>
      </c>
      <c r="O20" s="454" t="s">
        <v>11</v>
      </c>
    </row>
    <row r="21" spans="1:15" ht="15.75" thickBot="1" x14ac:dyDescent="0.3">
      <c r="A21" s="473"/>
      <c r="B21" s="457"/>
      <c r="C21" s="54" t="s">
        <v>38</v>
      </c>
      <c r="D21" s="54" t="s">
        <v>39</v>
      </c>
      <c r="E21" s="96"/>
      <c r="F21" s="5" t="s">
        <v>0</v>
      </c>
      <c r="G21" s="25" t="s">
        <v>1</v>
      </c>
      <c r="H21" s="451"/>
      <c r="I21" s="24"/>
      <c r="J21" s="463"/>
      <c r="K21" s="451"/>
      <c r="L21" s="451"/>
      <c r="M21" s="451"/>
      <c r="N21" s="451"/>
      <c r="O21" s="455"/>
    </row>
    <row r="22" spans="1:15" x14ac:dyDescent="0.25">
      <c r="A22" s="87"/>
      <c r="B22" s="92"/>
      <c r="C22" s="56"/>
      <c r="D22" s="56"/>
      <c r="E22" s="66">
        <f>D22-C22+1</f>
        <v>1</v>
      </c>
      <c r="F22" s="8">
        <v>0</v>
      </c>
      <c r="G22" s="8">
        <v>0</v>
      </c>
      <c r="H22" s="9">
        <f>G22-F22+1</f>
        <v>1</v>
      </c>
      <c r="I22" s="9"/>
      <c r="J22" s="32">
        <v>0</v>
      </c>
      <c r="K22" s="10">
        <f>J22/30</f>
        <v>0</v>
      </c>
      <c r="L22" s="9"/>
      <c r="M22" s="10">
        <f>K22*L22</f>
        <v>0</v>
      </c>
      <c r="N22" s="10">
        <f>M22*0.9</f>
        <v>0</v>
      </c>
      <c r="O22" s="92"/>
    </row>
    <row r="23" spans="1:15" s="369" customFormat="1" ht="15.75" x14ac:dyDescent="0.25">
      <c r="A23" s="417">
        <v>1</v>
      </c>
      <c r="B23" s="407" t="s">
        <v>142</v>
      </c>
      <c r="C23" s="415"/>
      <c r="D23" s="415"/>
      <c r="E23" s="416">
        <f t="shared" ref="E23:E24" si="11">D23-C23+1</f>
        <v>1</v>
      </c>
      <c r="F23" s="410">
        <v>45664</v>
      </c>
      <c r="G23" s="410">
        <v>45684</v>
      </c>
      <c r="H23" s="411">
        <f t="shared" ref="H23:H24" si="12">G23-F23+1</f>
        <v>21</v>
      </c>
      <c r="I23" s="411"/>
      <c r="J23" s="412">
        <v>8718</v>
      </c>
      <c r="K23" s="413">
        <f t="shared" ref="K23:K24" si="13">J23/30</f>
        <v>290.60000000000002</v>
      </c>
      <c r="L23" s="411">
        <f>+H23</f>
        <v>21</v>
      </c>
      <c r="M23" s="413">
        <f t="shared" ref="M23:M24" si="14">K23*L23</f>
        <v>6102.6</v>
      </c>
      <c r="N23" s="413">
        <f t="shared" ref="N23:N24" si="15">M23*0.9</f>
        <v>5492.34</v>
      </c>
      <c r="O23" s="418"/>
    </row>
    <row r="24" spans="1:15" s="369" customFormat="1" ht="15.75" x14ac:dyDescent="0.25">
      <c r="A24" s="87">
        <v>2</v>
      </c>
      <c r="B24" s="407" t="s">
        <v>143</v>
      </c>
      <c r="C24" s="415"/>
      <c r="D24" s="415"/>
      <c r="E24" s="416">
        <f t="shared" si="11"/>
        <v>1</v>
      </c>
      <c r="F24" s="410">
        <v>45671</v>
      </c>
      <c r="G24" s="410">
        <v>45672</v>
      </c>
      <c r="H24" s="411">
        <f t="shared" si="12"/>
        <v>2</v>
      </c>
      <c r="I24" s="411"/>
      <c r="J24" s="412">
        <v>15560</v>
      </c>
      <c r="K24" s="413">
        <f t="shared" si="13"/>
        <v>518.66666666666663</v>
      </c>
      <c r="L24" s="411">
        <f>+H24</f>
        <v>2</v>
      </c>
      <c r="M24" s="413">
        <f t="shared" si="14"/>
        <v>1037.3333333333333</v>
      </c>
      <c r="N24" s="413">
        <f t="shared" si="15"/>
        <v>933.59999999999991</v>
      </c>
      <c r="O24" s="418"/>
    </row>
    <row r="25" spans="1:15" s="350" customFormat="1" ht="16.5" thickBot="1" x14ac:dyDescent="0.3">
      <c r="A25" s="87"/>
      <c r="B25" s="407"/>
      <c r="C25" s="415"/>
      <c r="D25" s="415"/>
      <c r="E25" s="416">
        <f t="shared" ref="E25" si="16">D25-C25+1</f>
        <v>1</v>
      </c>
      <c r="F25" s="410"/>
      <c r="G25" s="410"/>
      <c r="H25" s="411">
        <f t="shared" ref="H25" si="17">G25-F25+1</f>
        <v>1</v>
      </c>
      <c r="I25" s="411"/>
      <c r="J25" s="412"/>
      <c r="K25" s="413">
        <f t="shared" ref="K25" si="18">J25/30</f>
        <v>0</v>
      </c>
      <c r="L25" s="411"/>
      <c r="M25" s="413">
        <f t="shared" ref="M25" si="19">K25*L25</f>
        <v>0</v>
      </c>
      <c r="N25" s="413">
        <f t="shared" ref="N25" si="20">M25*0.9</f>
        <v>0</v>
      </c>
      <c r="O25" s="418"/>
    </row>
    <row r="26" spans="1:15" ht="15.75" thickBot="1" x14ac:dyDescent="0.3">
      <c r="A26" s="83"/>
      <c r="B26" s="89"/>
      <c r="C26" s="18"/>
      <c r="D26" s="18"/>
      <c r="E26" s="18"/>
      <c r="F26" s="18"/>
      <c r="G26" s="18"/>
      <c r="H26" s="18"/>
      <c r="I26" s="18"/>
      <c r="J26" s="33"/>
      <c r="K26" s="83"/>
      <c r="L26" s="83"/>
      <c r="M26" s="83"/>
      <c r="N26" s="86">
        <f>SUM(N22:N25)</f>
        <v>6425.9400000000005</v>
      </c>
      <c r="O26" s="88"/>
    </row>
    <row r="27" spans="1:15" ht="15.75" customHeight="1" thickBot="1" x14ac:dyDescent="0.3">
      <c r="B27" s="446"/>
      <c r="C27" s="446"/>
      <c r="D27" s="446"/>
      <c r="E27" s="446"/>
      <c r="F27" s="446"/>
      <c r="G27" s="446"/>
      <c r="H27" s="446"/>
      <c r="I27" s="446"/>
      <c r="J27" s="52"/>
    </row>
    <row r="28" spans="1:15" ht="24.75" customHeight="1" thickBot="1" x14ac:dyDescent="0.3">
      <c r="B28" s="446"/>
      <c r="C28" s="446"/>
      <c r="D28" s="446"/>
      <c r="E28" s="446"/>
      <c r="F28" s="446"/>
      <c r="G28" s="446"/>
      <c r="H28" s="446"/>
      <c r="I28" s="446"/>
      <c r="J28" s="52"/>
      <c r="K28" s="447" t="s">
        <v>26</v>
      </c>
      <c r="L28" s="448"/>
      <c r="M28" s="449"/>
      <c r="N28" s="178">
        <f>N9+N17+N26</f>
        <v>23671.864999999998</v>
      </c>
      <c r="O28" s="313"/>
    </row>
  </sheetData>
  <mergeCells count="45">
    <mergeCell ref="A1:B1"/>
    <mergeCell ref="A2:B2"/>
    <mergeCell ref="A10:B11"/>
    <mergeCell ref="N10:O11"/>
    <mergeCell ref="A3:O3"/>
    <mergeCell ref="I5:I6"/>
    <mergeCell ref="A5:A6"/>
    <mergeCell ref="B5:B6"/>
    <mergeCell ref="F5:G5"/>
    <mergeCell ref="H5:H6"/>
    <mergeCell ref="J5:J6"/>
    <mergeCell ref="K5:K6"/>
    <mergeCell ref="L5:L6"/>
    <mergeCell ref="M5:M6"/>
    <mergeCell ref="C4:M4"/>
    <mergeCell ref="C5:D5"/>
    <mergeCell ref="M12:M13"/>
    <mergeCell ref="C10:M11"/>
    <mergeCell ref="N5:N6"/>
    <mergeCell ref="O5:O6"/>
    <mergeCell ref="E5:E6"/>
    <mergeCell ref="A20:A21"/>
    <mergeCell ref="B20:B21"/>
    <mergeCell ref="F20:G20"/>
    <mergeCell ref="H20:H21"/>
    <mergeCell ref="A12:A13"/>
    <mergeCell ref="B12:B13"/>
    <mergeCell ref="F12:G12"/>
    <mergeCell ref="H12:H13"/>
    <mergeCell ref="B27:I28"/>
    <mergeCell ref="K28:M28"/>
    <mergeCell ref="N12:N13"/>
    <mergeCell ref="O12:O13"/>
    <mergeCell ref="J20:J21"/>
    <mergeCell ref="K20:K21"/>
    <mergeCell ref="L20:L21"/>
    <mergeCell ref="M20:M21"/>
    <mergeCell ref="N20:N21"/>
    <mergeCell ref="O20:O21"/>
    <mergeCell ref="C18:M19"/>
    <mergeCell ref="C12:D12"/>
    <mergeCell ref="C20:D20"/>
    <mergeCell ref="J12:J13"/>
    <mergeCell ref="K12:K13"/>
    <mergeCell ref="L12:L13"/>
  </mergeCells>
  <pageMargins left="0.9055118110236221" right="0.70866141732283472" top="0.94488188976377963" bottom="0.35433070866141736" header="0.31496062992125984" footer="0.31496062992125984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view="pageBreakPreview" zoomScale="120" zoomScaleNormal="115" zoomScaleSheetLayoutView="120" workbookViewId="0">
      <selection activeCell="N8" sqref="N8"/>
    </sheetView>
  </sheetViews>
  <sheetFormatPr baseColWidth="10" defaultColWidth="11.42578125" defaultRowHeight="15" x14ac:dyDescent="0.25"/>
  <cols>
    <col min="1" max="1" width="4.140625" style="52" customWidth="1"/>
    <col min="2" max="2" width="39.42578125" style="1" bestFit="1" customWidth="1"/>
    <col min="3" max="4" width="9.5703125" style="1" bestFit="1" customWidth="1"/>
    <col min="5" max="5" width="5.28515625" style="128" bestFit="1" customWidth="1"/>
    <col min="6" max="6" width="9.85546875" style="1" customWidth="1"/>
    <col min="7" max="7" width="10.5703125" style="1" customWidth="1"/>
    <col min="8" max="9" width="5.140625" style="1" customWidth="1"/>
    <col min="10" max="10" width="10.140625" style="1" customWidth="1"/>
    <col min="11" max="11" width="9.28515625" style="52" customWidth="1"/>
    <col min="12" max="12" width="7.28515625" style="52" customWidth="1"/>
    <col min="13" max="13" width="9.28515625" style="52" customWidth="1"/>
    <col min="14" max="14" width="15" style="152" bestFit="1" customWidth="1"/>
    <col min="15" max="15" width="20.5703125" style="52" customWidth="1"/>
    <col min="16" max="16384" width="11.42578125" style="52"/>
  </cols>
  <sheetData>
    <row r="1" spans="1:16" x14ac:dyDescent="0.25">
      <c r="A1" s="503" t="s">
        <v>46</v>
      </c>
      <c r="B1" s="503"/>
      <c r="C1" s="224"/>
      <c r="D1" s="224"/>
      <c r="F1" s="224"/>
      <c r="G1" s="224"/>
      <c r="H1" s="224"/>
      <c r="I1" s="224"/>
      <c r="J1" s="224"/>
      <c r="M1" s="503" t="s">
        <v>66</v>
      </c>
      <c r="N1" s="503"/>
      <c r="O1" s="52" t="s">
        <v>73</v>
      </c>
    </row>
    <row r="2" spans="1:16" x14ac:dyDescent="0.25">
      <c r="A2" s="503" t="s">
        <v>47</v>
      </c>
      <c r="B2" s="503"/>
      <c r="C2" s="224"/>
      <c r="D2" s="224"/>
      <c r="F2" s="224"/>
      <c r="G2" s="224"/>
      <c r="H2" s="224"/>
      <c r="I2" s="224"/>
      <c r="J2" s="224"/>
    </row>
    <row r="3" spans="1:16" ht="28.5" customHeight="1" thickBot="1" x14ac:dyDescent="0.3">
      <c r="A3" s="533" t="s">
        <v>27</v>
      </c>
      <c r="B3" s="533"/>
      <c r="C3" s="533"/>
      <c r="D3" s="533"/>
      <c r="E3" s="533"/>
      <c r="F3" s="533"/>
      <c r="G3" s="533"/>
      <c r="H3" s="533"/>
      <c r="I3" s="533"/>
      <c r="J3" s="533"/>
      <c r="K3" s="533"/>
      <c r="L3" s="533"/>
      <c r="M3" s="533"/>
      <c r="N3" s="533"/>
      <c r="O3" s="533"/>
    </row>
    <row r="4" spans="1:16" ht="26.25" customHeight="1" thickBot="1" x14ac:dyDescent="0.3">
      <c r="A4" s="46"/>
      <c r="B4" s="46"/>
      <c r="C4" s="485" t="s">
        <v>17</v>
      </c>
      <c r="D4" s="536"/>
      <c r="E4" s="536"/>
      <c r="F4" s="536"/>
      <c r="G4" s="536"/>
      <c r="H4" s="536"/>
      <c r="I4" s="536"/>
      <c r="J4" s="536"/>
      <c r="K4" s="536"/>
      <c r="L4" s="536"/>
      <c r="M4" s="486"/>
      <c r="N4" s="149"/>
      <c r="O4" s="46"/>
    </row>
    <row r="5" spans="1:16" ht="27.75" customHeight="1" thickBot="1" x14ac:dyDescent="0.3">
      <c r="A5" s="534" t="s">
        <v>6</v>
      </c>
      <c r="B5" s="450" t="s">
        <v>8</v>
      </c>
      <c r="C5" s="458" t="s">
        <v>37</v>
      </c>
      <c r="D5" s="459"/>
      <c r="E5" s="122"/>
      <c r="F5" s="494" t="s">
        <v>14</v>
      </c>
      <c r="G5" s="495"/>
      <c r="H5" s="464" t="s">
        <v>7</v>
      </c>
      <c r="I5" s="450"/>
      <c r="J5" s="464" t="s">
        <v>2</v>
      </c>
      <c r="K5" s="464" t="s">
        <v>3</v>
      </c>
      <c r="L5" s="464" t="s">
        <v>4</v>
      </c>
      <c r="M5" s="464" t="s">
        <v>5</v>
      </c>
      <c r="N5" s="466" t="s">
        <v>9</v>
      </c>
      <c r="O5" s="464" t="s">
        <v>11</v>
      </c>
    </row>
    <row r="6" spans="1:16" ht="15.75" thickBot="1" x14ac:dyDescent="0.3">
      <c r="A6" s="535"/>
      <c r="B6" s="451"/>
      <c r="C6" s="54" t="s">
        <v>38</v>
      </c>
      <c r="D6" s="54" t="s">
        <v>39</v>
      </c>
      <c r="E6" s="123"/>
      <c r="F6" s="5" t="s">
        <v>0</v>
      </c>
      <c r="G6" s="25" t="s">
        <v>1</v>
      </c>
      <c r="H6" s="465"/>
      <c r="I6" s="451"/>
      <c r="J6" s="465"/>
      <c r="K6" s="465"/>
      <c r="L6" s="465"/>
      <c r="M6" s="465"/>
      <c r="N6" s="467"/>
      <c r="O6" s="465"/>
    </row>
    <row r="7" spans="1:16" x14ac:dyDescent="0.25">
      <c r="A7" s="67"/>
      <c r="B7" s="67"/>
      <c r="C7" s="56"/>
      <c r="D7" s="56"/>
      <c r="E7" s="121"/>
      <c r="F7" s="37">
        <v>0</v>
      </c>
      <c r="G7" s="37">
        <v>0</v>
      </c>
      <c r="H7" s="38">
        <f t="shared" ref="H7" si="0">G7-F7+1</f>
        <v>1</v>
      </c>
      <c r="I7" s="38">
        <f t="shared" ref="I7" si="1">H7-3</f>
        <v>-2</v>
      </c>
      <c r="J7" s="32">
        <v>0</v>
      </c>
      <c r="K7" s="32">
        <f t="shared" ref="K7" si="2">J7/30</f>
        <v>0</v>
      </c>
      <c r="L7" s="38"/>
      <c r="M7" s="32">
        <f t="shared" ref="M7" si="3">K7*L7</f>
        <v>0</v>
      </c>
      <c r="N7" s="150">
        <f t="shared" ref="N7:N11" si="4">M7*0.75</f>
        <v>0</v>
      </c>
      <c r="O7" s="11"/>
    </row>
    <row r="8" spans="1:16" x14ac:dyDescent="0.25">
      <c r="A8" s="67">
        <v>1</v>
      </c>
      <c r="B8" s="259" t="s">
        <v>104</v>
      </c>
      <c r="C8" s="419">
        <v>45650</v>
      </c>
      <c r="D8" s="419">
        <v>45660</v>
      </c>
      <c r="E8" s="420">
        <f t="shared" ref="E8" si="5">+D8-C8+1</f>
        <v>11</v>
      </c>
      <c r="F8" s="419">
        <v>45658</v>
      </c>
      <c r="G8" s="279">
        <v>45660</v>
      </c>
      <c r="H8" s="280">
        <f t="shared" ref="H8" si="6">G8-F8+1</f>
        <v>3</v>
      </c>
      <c r="I8" s="280">
        <f t="shared" ref="I8" si="7">H8-3</f>
        <v>0</v>
      </c>
      <c r="J8" s="281">
        <v>9553</v>
      </c>
      <c r="K8" s="282">
        <f t="shared" ref="K8" si="8">J8/30</f>
        <v>318.43333333333334</v>
      </c>
      <c r="L8" s="283">
        <v>3</v>
      </c>
      <c r="M8" s="282">
        <f t="shared" ref="M8" si="9">K8*L8</f>
        <v>955.3</v>
      </c>
      <c r="N8" s="445">
        <f>M8*0.75-0.01</f>
        <v>716.46499999999992</v>
      </c>
      <c r="O8" s="165"/>
      <c r="P8" s="266"/>
    </row>
    <row r="9" spans="1:16" x14ac:dyDescent="0.25">
      <c r="A9" s="67">
        <v>2</v>
      </c>
      <c r="B9" s="259" t="s">
        <v>100</v>
      </c>
      <c r="C9" s="419">
        <v>45650</v>
      </c>
      <c r="D9" s="419">
        <v>45691</v>
      </c>
      <c r="E9" s="420">
        <f t="shared" ref="E9" si="10">+D9-C9+1</f>
        <v>42</v>
      </c>
      <c r="F9" s="419">
        <v>45658</v>
      </c>
      <c r="G9" s="279">
        <v>45687</v>
      </c>
      <c r="H9" s="280">
        <f t="shared" ref="H9" si="11">G9-F9+1</f>
        <v>30</v>
      </c>
      <c r="I9" s="280">
        <f t="shared" ref="I9" si="12">H9-3</f>
        <v>27</v>
      </c>
      <c r="J9" s="281">
        <v>20043</v>
      </c>
      <c r="K9" s="282">
        <f t="shared" ref="K9" si="13">J9/30</f>
        <v>668.1</v>
      </c>
      <c r="L9" s="283">
        <v>30</v>
      </c>
      <c r="M9" s="282">
        <f t="shared" ref="M9" si="14">K9*L9</f>
        <v>20043</v>
      </c>
      <c r="N9" s="284">
        <f t="shared" si="4"/>
        <v>15032.25</v>
      </c>
      <c r="O9" s="111"/>
      <c r="P9" s="266"/>
    </row>
    <row r="10" spans="1:16" x14ac:dyDescent="0.25">
      <c r="A10" s="67">
        <v>3</v>
      </c>
      <c r="B10" s="259" t="s">
        <v>101</v>
      </c>
      <c r="C10" s="419">
        <v>45647</v>
      </c>
      <c r="D10" s="419">
        <v>45688</v>
      </c>
      <c r="E10" s="420">
        <f t="shared" ref="E10:E11" si="15">+D10-C10+1</f>
        <v>42</v>
      </c>
      <c r="F10" s="419">
        <v>45658</v>
      </c>
      <c r="G10" s="279">
        <v>45687</v>
      </c>
      <c r="H10" s="280">
        <f t="shared" ref="H10:H11" si="16">G10-F10+1</f>
        <v>30</v>
      </c>
      <c r="I10" s="280">
        <f t="shared" ref="I10:I11" si="17">H10-3</f>
        <v>27</v>
      </c>
      <c r="J10" s="281">
        <v>18262</v>
      </c>
      <c r="K10" s="282">
        <f t="shared" ref="K10:K11" si="18">J10/30</f>
        <v>608.73333333333335</v>
      </c>
      <c r="L10" s="283">
        <v>30</v>
      </c>
      <c r="M10" s="282">
        <f t="shared" ref="M10:M11" si="19">K10*L10</f>
        <v>18262</v>
      </c>
      <c r="N10" s="445">
        <f>M10*0.75-0.07</f>
        <v>13696.43</v>
      </c>
      <c r="O10" s="111"/>
      <c r="P10" s="266"/>
    </row>
    <row r="11" spans="1:16" ht="15.75" thickBot="1" x14ac:dyDescent="0.3">
      <c r="A11" s="67">
        <v>4</v>
      </c>
      <c r="B11" s="259" t="s">
        <v>144</v>
      </c>
      <c r="C11" s="419">
        <v>45672</v>
      </c>
      <c r="D11" s="419">
        <v>45691</v>
      </c>
      <c r="E11" s="420">
        <f t="shared" si="15"/>
        <v>20</v>
      </c>
      <c r="F11" s="419">
        <v>45672</v>
      </c>
      <c r="G11" s="279">
        <v>45687</v>
      </c>
      <c r="H11" s="280">
        <f t="shared" si="16"/>
        <v>16</v>
      </c>
      <c r="I11" s="280">
        <f t="shared" si="17"/>
        <v>13</v>
      </c>
      <c r="J11" s="281">
        <v>20745</v>
      </c>
      <c r="K11" s="282">
        <f t="shared" si="18"/>
        <v>691.5</v>
      </c>
      <c r="L11" s="283">
        <f>+I11</f>
        <v>13</v>
      </c>
      <c r="M11" s="282">
        <f t="shared" si="19"/>
        <v>8989.5</v>
      </c>
      <c r="N11" s="284">
        <f t="shared" si="4"/>
        <v>6742.125</v>
      </c>
      <c r="O11" s="111"/>
      <c r="P11" s="266"/>
    </row>
    <row r="12" spans="1:16" ht="15.75" thickBot="1" x14ac:dyDescent="0.3">
      <c r="A12" s="46"/>
      <c r="B12" s="260"/>
      <c r="C12" s="239"/>
      <c r="D12" s="239"/>
      <c r="E12" s="285"/>
      <c r="F12" s="286"/>
      <c r="G12" s="286"/>
      <c r="H12" s="286"/>
      <c r="I12" s="286"/>
      <c r="J12" s="286"/>
      <c r="K12" s="287"/>
      <c r="L12" s="287"/>
      <c r="M12" s="287"/>
      <c r="N12" s="288">
        <f>SUM(N7:N11)+0.01</f>
        <v>36187.280000000006</v>
      </c>
      <c r="O12" s="46"/>
    </row>
    <row r="13" spans="1:16" x14ac:dyDescent="0.25">
      <c r="A13" s="46"/>
      <c r="B13" s="260"/>
      <c r="C13" s="289"/>
      <c r="D13" s="289"/>
      <c r="E13" s="290"/>
      <c r="F13" s="513" t="s">
        <v>13</v>
      </c>
      <c r="G13" s="514"/>
      <c r="H13" s="514"/>
      <c r="I13" s="514"/>
      <c r="J13" s="514"/>
      <c r="K13" s="514"/>
      <c r="L13" s="514"/>
      <c r="M13" s="515"/>
      <c r="N13" s="291"/>
      <c r="O13" s="46"/>
      <c r="P13" s="267"/>
    </row>
    <row r="14" spans="1:16" ht="15.75" thickBot="1" x14ac:dyDescent="0.3">
      <c r="A14" s="46"/>
      <c r="B14" s="261"/>
      <c r="C14" s="289"/>
      <c r="D14" s="289"/>
      <c r="E14" s="290"/>
      <c r="F14" s="516"/>
      <c r="G14" s="517"/>
      <c r="H14" s="517"/>
      <c r="I14" s="517"/>
      <c r="J14" s="517"/>
      <c r="K14" s="517"/>
      <c r="L14" s="517"/>
      <c r="M14" s="518"/>
      <c r="N14" s="291"/>
      <c r="O14" s="47"/>
    </row>
    <row r="15" spans="1:16" ht="28.5" customHeight="1" thickBot="1" x14ac:dyDescent="0.3">
      <c r="A15" s="450" t="s">
        <v>6</v>
      </c>
      <c r="B15" s="262" t="s">
        <v>8</v>
      </c>
      <c r="C15" s="531" t="s">
        <v>37</v>
      </c>
      <c r="D15" s="532"/>
      <c r="E15" s="508" t="s">
        <v>41</v>
      </c>
      <c r="F15" s="529" t="s">
        <v>14</v>
      </c>
      <c r="G15" s="530"/>
      <c r="H15" s="519" t="s">
        <v>7</v>
      </c>
      <c r="I15" s="292"/>
      <c r="J15" s="519" t="s">
        <v>2</v>
      </c>
      <c r="K15" s="519" t="s">
        <v>3</v>
      </c>
      <c r="L15" s="519" t="s">
        <v>4</v>
      </c>
      <c r="M15" s="519" t="s">
        <v>5</v>
      </c>
      <c r="N15" s="521" t="s">
        <v>10</v>
      </c>
      <c r="O15" s="450" t="s">
        <v>11</v>
      </c>
    </row>
    <row r="16" spans="1:16" ht="15.75" thickBot="1" x14ac:dyDescent="0.3">
      <c r="A16" s="451"/>
      <c r="B16" s="263"/>
      <c r="C16" s="293" t="s">
        <v>38</v>
      </c>
      <c r="D16" s="293" t="s">
        <v>39</v>
      </c>
      <c r="E16" s="509"/>
      <c r="F16" s="294" t="s">
        <v>0</v>
      </c>
      <c r="G16" s="295" t="s">
        <v>1</v>
      </c>
      <c r="H16" s="520"/>
      <c r="I16" s="296"/>
      <c r="J16" s="520"/>
      <c r="K16" s="520"/>
      <c r="L16" s="520"/>
      <c r="M16" s="520"/>
      <c r="N16" s="522"/>
      <c r="O16" s="451"/>
    </row>
    <row r="17" spans="1:15" x14ac:dyDescent="0.25">
      <c r="A17" s="69"/>
      <c r="B17" s="264"/>
      <c r="C17" s="277"/>
      <c r="D17" s="277"/>
      <c r="E17" s="278">
        <f>D17-C17+1</f>
        <v>1</v>
      </c>
      <c r="F17" s="297"/>
      <c r="G17" s="297"/>
      <c r="H17" s="280">
        <f>G17-F17+1</f>
        <v>1</v>
      </c>
      <c r="I17" s="280"/>
      <c r="J17" s="282"/>
      <c r="K17" s="282">
        <f>J17/30</f>
        <v>0</v>
      </c>
      <c r="L17" s="280"/>
      <c r="M17" s="282">
        <f>K17*L17</f>
        <v>0</v>
      </c>
      <c r="N17" s="284">
        <f>M17*0.9</f>
        <v>0</v>
      </c>
      <c r="O17" s="11"/>
    </row>
    <row r="18" spans="1:15" ht="15.75" thickBot="1" x14ac:dyDescent="0.3">
      <c r="A18" s="146">
        <v>1</v>
      </c>
      <c r="B18" s="265" t="s">
        <v>105</v>
      </c>
      <c r="C18" s="277">
        <v>45603</v>
      </c>
      <c r="D18" s="277">
        <v>45692</v>
      </c>
      <c r="E18" s="278">
        <f t="shared" ref="E18" si="20">D18-C18+1</f>
        <v>90</v>
      </c>
      <c r="F18" s="297">
        <v>45658</v>
      </c>
      <c r="G18" s="297">
        <v>45687</v>
      </c>
      <c r="H18" s="280">
        <f t="shared" ref="H18" si="21">G18-F18+1</f>
        <v>30</v>
      </c>
      <c r="I18" s="280"/>
      <c r="J18" s="282">
        <v>14138</v>
      </c>
      <c r="K18" s="282">
        <f t="shared" ref="K18" si="22">J18/30</f>
        <v>471.26666666666665</v>
      </c>
      <c r="L18" s="280">
        <f>+H18</f>
        <v>30</v>
      </c>
      <c r="M18" s="282">
        <f t="shared" ref="M18" si="23">K18*L18</f>
        <v>14138</v>
      </c>
      <c r="N18" s="445">
        <f>M18*0.9+0.09</f>
        <v>12724.29</v>
      </c>
      <c r="O18" s="11"/>
    </row>
    <row r="19" spans="1:15" ht="15.75" thickBot="1" x14ac:dyDescent="0.3">
      <c r="A19" s="46"/>
      <c r="B19" s="18"/>
      <c r="C19" s="18"/>
      <c r="D19" s="18"/>
      <c r="E19" s="125"/>
      <c r="F19" s="18"/>
      <c r="G19" s="18"/>
      <c r="H19" s="18"/>
      <c r="I19" s="18"/>
      <c r="J19" s="18"/>
      <c r="K19" s="46"/>
      <c r="L19" s="46"/>
      <c r="M19" s="366"/>
      <c r="N19" s="151">
        <f>SUM(N17:N18)</f>
        <v>12724.29</v>
      </c>
      <c r="O19" s="11"/>
    </row>
    <row r="20" spans="1:15" x14ac:dyDescent="0.25">
      <c r="A20" s="46"/>
      <c r="B20" s="18"/>
      <c r="C20" s="46"/>
      <c r="D20" s="46"/>
      <c r="E20" s="126"/>
      <c r="F20" s="523" t="s">
        <v>25</v>
      </c>
      <c r="G20" s="524"/>
      <c r="H20" s="524"/>
      <c r="I20" s="524"/>
      <c r="J20" s="524"/>
      <c r="K20" s="524"/>
      <c r="L20" s="524"/>
      <c r="M20" s="525"/>
      <c r="N20" s="149"/>
      <c r="O20" s="46"/>
    </row>
    <row r="21" spans="1:15" ht="15.75" thickBot="1" x14ac:dyDescent="0.3">
      <c r="A21" s="46"/>
      <c r="B21" s="46"/>
      <c r="C21" s="46"/>
      <c r="D21" s="46"/>
      <c r="E21" s="126"/>
      <c r="F21" s="526"/>
      <c r="G21" s="527"/>
      <c r="H21" s="527"/>
      <c r="I21" s="527"/>
      <c r="J21" s="527"/>
      <c r="K21" s="527"/>
      <c r="L21" s="527"/>
      <c r="M21" s="528"/>
      <c r="N21" s="149"/>
      <c r="O21" s="47"/>
    </row>
    <row r="22" spans="1:15" ht="31.5" customHeight="1" thickBot="1" x14ac:dyDescent="0.3">
      <c r="A22" s="450" t="s">
        <v>6</v>
      </c>
      <c r="B22" s="100" t="s">
        <v>8</v>
      </c>
      <c r="C22" s="458" t="s">
        <v>37</v>
      </c>
      <c r="D22" s="459"/>
      <c r="E22" s="127"/>
      <c r="F22" s="460" t="s">
        <v>14</v>
      </c>
      <c r="G22" s="461"/>
      <c r="H22" s="450" t="s">
        <v>7</v>
      </c>
      <c r="I22" s="20"/>
      <c r="J22" s="450" t="s">
        <v>2</v>
      </c>
      <c r="K22" s="450" t="s">
        <v>3</v>
      </c>
      <c r="L22" s="450" t="s">
        <v>4</v>
      </c>
      <c r="M22" s="450" t="s">
        <v>5</v>
      </c>
      <c r="N22" s="452" t="s">
        <v>10</v>
      </c>
      <c r="O22" s="450" t="s">
        <v>11</v>
      </c>
    </row>
    <row r="23" spans="1:15" ht="15.75" thickBot="1" x14ac:dyDescent="0.3">
      <c r="A23" s="451"/>
      <c r="B23" s="24"/>
      <c r="C23" s="54" t="s">
        <v>38</v>
      </c>
      <c r="D23" s="54" t="s">
        <v>39</v>
      </c>
      <c r="E23" s="123"/>
      <c r="F23" s="5" t="s">
        <v>0</v>
      </c>
      <c r="G23" s="25" t="s">
        <v>1</v>
      </c>
      <c r="H23" s="451"/>
      <c r="I23" s="24"/>
      <c r="J23" s="451"/>
      <c r="K23" s="451"/>
      <c r="L23" s="451"/>
      <c r="M23" s="451"/>
      <c r="N23" s="453"/>
      <c r="O23" s="451"/>
    </row>
    <row r="24" spans="1:15" x14ac:dyDescent="0.25">
      <c r="A24" s="69"/>
      <c r="C24" s="56"/>
      <c r="D24" s="56"/>
      <c r="E24" s="121"/>
      <c r="F24" s="8"/>
      <c r="G24" s="8"/>
      <c r="H24" s="9">
        <f>G24-F24+1</f>
        <v>1</v>
      </c>
      <c r="I24" s="9"/>
      <c r="J24" s="10">
        <v>0</v>
      </c>
      <c r="K24" s="10">
        <f>J24/30</f>
        <v>0</v>
      </c>
      <c r="L24" s="9"/>
      <c r="M24" s="10">
        <f>K24*L24</f>
        <v>0</v>
      </c>
      <c r="N24" s="150">
        <f>M24*0.9</f>
        <v>0</v>
      </c>
      <c r="O24" s="11"/>
    </row>
    <row r="25" spans="1:15" ht="15.75" thickBot="1" x14ac:dyDescent="0.3">
      <c r="A25" s="69"/>
      <c r="B25" s="68"/>
      <c r="C25" s="56"/>
      <c r="D25" s="56"/>
      <c r="E25" s="121"/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50">
        <f>M25*0.9</f>
        <v>0</v>
      </c>
      <c r="O25" s="11"/>
    </row>
    <row r="26" spans="1:15" ht="15.75" thickBot="1" x14ac:dyDescent="0.3">
      <c r="A26" s="46"/>
      <c r="C26" s="18"/>
      <c r="D26" s="18"/>
      <c r="E26" s="125"/>
      <c r="F26" s="18"/>
      <c r="G26" s="18"/>
      <c r="H26" s="18"/>
      <c r="I26" s="18"/>
      <c r="J26" s="18"/>
      <c r="K26" s="46"/>
      <c r="L26" s="46"/>
      <c r="M26" s="46"/>
      <c r="N26" s="151">
        <f>SUM(N24:N25)</f>
        <v>0</v>
      </c>
      <c r="O26" s="46"/>
    </row>
    <row r="27" spans="1:15" ht="15.75" thickBot="1" x14ac:dyDescent="0.3"/>
    <row r="28" spans="1:15" ht="15.75" thickBot="1" x14ac:dyDescent="0.3">
      <c r="K28" s="510" t="s">
        <v>53</v>
      </c>
      <c r="L28" s="511"/>
      <c r="M28" s="512"/>
      <c r="N28" s="153">
        <f>N26+N19+N12</f>
        <v>48911.570000000007</v>
      </c>
      <c r="O28" s="168"/>
    </row>
    <row r="30" spans="1:15" x14ac:dyDescent="0.25">
      <c r="F30" s="183"/>
    </row>
    <row r="31" spans="1:15" x14ac:dyDescent="0.25">
      <c r="F31" s="183"/>
    </row>
  </sheetData>
  <sortState xmlns:xlrd2="http://schemas.microsoft.com/office/spreadsheetml/2017/richdata2" ref="A6:O10">
    <sortCondition ref="B6:B10"/>
  </sortState>
  <mergeCells count="41">
    <mergeCell ref="O5:O6"/>
    <mergeCell ref="A3:O3"/>
    <mergeCell ref="I5:I6"/>
    <mergeCell ref="A5:A6"/>
    <mergeCell ref="B5:B6"/>
    <mergeCell ref="F5:G5"/>
    <mergeCell ref="H5:H6"/>
    <mergeCell ref="J5:J6"/>
    <mergeCell ref="K5:K6"/>
    <mergeCell ref="L5:L6"/>
    <mergeCell ref="M5:M6"/>
    <mergeCell ref="C5:D5"/>
    <mergeCell ref="C4:M4"/>
    <mergeCell ref="O15:O16"/>
    <mergeCell ref="F20:M21"/>
    <mergeCell ref="A22:A23"/>
    <mergeCell ref="F22:G22"/>
    <mergeCell ref="H22:H23"/>
    <mergeCell ref="J22:J23"/>
    <mergeCell ref="K22:K23"/>
    <mergeCell ref="L22:L23"/>
    <mergeCell ref="M22:M23"/>
    <mergeCell ref="N22:N23"/>
    <mergeCell ref="O22:O23"/>
    <mergeCell ref="A15:A16"/>
    <mergeCell ref="F15:G15"/>
    <mergeCell ref="C15:D15"/>
    <mergeCell ref="C22:D22"/>
    <mergeCell ref="A1:B1"/>
    <mergeCell ref="A2:B2"/>
    <mergeCell ref="E15:E16"/>
    <mergeCell ref="K28:M28"/>
    <mergeCell ref="F13:M14"/>
    <mergeCell ref="H15:H16"/>
    <mergeCell ref="J15:J16"/>
    <mergeCell ref="K15:K16"/>
    <mergeCell ref="L15:L16"/>
    <mergeCell ref="M15:M16"/>
    <mergeCell ref="M1:N1"/>
    <mergeCell ref="N15:N16"/>
    <mergeCell ref="N5:N6"/>
  </mergeCells>
  <pageMargins left="1.1023622047244095" right="0.31496062992125984" top="0.74803149606299213" bottom="0.74803149606299213" header="0.31496062992125984" footer="0.31496062992125984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9"/>
  <sheetViews>
    <sheetView view="pageBreakPreview" zoomScale="110" zoomScaleNormal="130" zoomScaleSheetLayoutView="110" workbookViewId="0">
      <selection activeCell="I8" sqref="I8"/>
    </sheetView>
  </sheetViews>
  <sheetFormatPr baseColWidth="10" defaultColWidth="11.42578125" defaultRowHeight="15" x14ac:dyDescent="0.25"/>
  <cols>
    <col min="1" max="1" width="3.5703125" style="48" customWidth="1"/>
    <col min="2" max="2" width="30.7109375" style="389" customWidth="1"/>
    <col min="3" max="4" width="9.5703125" style="389" bestFit="1" customWidth="1"/>
    <col min="5" max="5" width="5.140625" style="389" customWidth="1"/>
    <col min="6" max="7" width="8.140625" style="389" bestFit="1" customWidth="1"/>
    <col min="8" max="8" width="4.85546875" style="389" customWidth="1"/>
    <col min="9" max="9" width="4.5703125" style="389" customWidth="1"/>
    <col min="10" max="10" width="11.85546875" style="389" bestFit="1" customWidth="1"/>
    <col min="11" max="11" width="8.5703125" style="48" customWidth="1"/>
    <col min="12" max="12" width="8.140625" style="48" customWidth="1"/>
    <col min="13" max="13" width="11.42578125" style="48"/>
    <col min="14" max="14" width="13.5703125" style="48" customWidth="1"/>
    <col min="15" max="15" width="18.140625" style="52" customWidth="1"/>
    <col min="16" max="16384" width="11.42578125" style="48"/>
  </cols>
  <sheetData>
    <row r="1" spans="1:15" x14ac:dyDescent="0.25">
      <c r="A1" s="502" t="s">
        <v>46</v>
      </c>
      <c r="B1" s="502"/>
    </row>
    <row r="2" spans="1:15" x14ac:dyDescent="0.25">
      <c r="A2" s="502" t="s">
        <v>47</v>
      </c>
      <c r="B2" s="502"/>
      <c r="N2" s="48" t="s">
        <v>60</v>
      </c>
      <c r="O2" s="52" t="s">
        <v>62</v>
      </c>
    </row>
    <row r="3" spans="1:15" ht="29.25" customHeight="1" thickBot="1" x14ac:dyDescent="0.3">
      <c r="A3" s="484" t="s">
        <v>99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</row>
    <row r="4" spans="1:15" ht="30.75" customHeight="1" thickBot="1" x14ac:dyDescent="0.3">
      <c r="A4" s="31"/>
      <c r="B4" s="46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31"/>
      <c r="O4" s="46"/>
    </row>
    <row r="5" spans="1:15" ht="26.25" customHeight="1" thickBot="1" x14ac:dyDescent="0.3">
      <c r="A5" s="490" t="s">
        <v>6</v>
      </c>
      <c r="B5" s="450" t="s">
        <v>8</v>
      </c>
      <c r="C5" s="458" t="s">
        <v>37</v>
      </c>
      <c r="D5" s="459"/>
      <c r="E5" s="64"/>
      <c r="F5" s="494" t="s">
        <v>14</v>
      </c>
      <c r="G5" s="495"/>
      <c r="H5" s="464" t="s">
        <v>7</v>
      </c>
      <c r="I5" s="450"/>
      <c r="J5" s="464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64" t="s">
        <v>11</v>
      </c>
    </row>
    <row r="6" spans="1:15" ht="15.75" thickBot="1" x14ac:dyDescent="0.3">
      <c r="A6" s="491"/>
      <c r="B6" s="451"/>
      <c r="C6" s="54" t="s">
        <v>38</v>
      </c>
      <c r="D6" s="54" t="s">
        <v>39</v>
      </c>
      <c r="E6" s="65"/>
      <c r="F6" s="5" t="s">
        <v>0</v>
      </c>
      <c r="G6" s="391" t="s">
        <v>1</v>
      </c>
      <c r="H6" s="465"/>
      <c r="I6" s="451"/>
      <c r="J6" s="465"/>
      <c r="K6" s="465"/>
      <c r="L6" s="465"/>
      <c r="M6" s="465"/>
      <c r="N6" s="499"/>
      <c r="O6" s="465"/>
    </row>
    <row r="7" spans="1:15" x14ac:dyDescent="0.25">
      <c r="A7" s="45"/>
      <c r="B7" s="67"/>
      <c r="C7" s="56">
        <v>0</v>
      </c>
      <c r="D7" s="56">
        <v>0</v>
      </c>
      <c r="E7" s="55"/>
      <c r="F7" s="8">
        <v>0</v>
      </c>
      <c r="G7" s="8">
        <v>0</v>
      </c>
      <c r="H7" s="9">
        <f t="shared" ref="H7:H10" si="0">G7-F7+1</f>
        <v>1</v>
      </c>
      <c r="I7" s="9">
        <f t="shared" ref="I7:I10" si="1">H7-3</f>
        <v>-2</v>
      </c>
      <c r="J7" s="10">
        <v>0</v>
      </c>
      <c r="K7" s="10">
        <f t="shared" ref="K7:K10" si="2">J7/30</f>
        <v>0</v>
      </c>
      <c r="L7" s="9"/>
      <c r="M7" s="10">
        <f t="shared" ref="M7:M10" si="3">K7*L7</f>
        <v>0</v>
      </c>
      <c r="N7" s="10">
        <f t="shared" ref="N7:N10" si="4">M7*0.75</f>
        <v>0</v>
      </c>
      <c r="O7" s="11"/>
    </row>
    <row r="8" spans="1:15" x14ac:dyDescent="0.25">
      <c r="A8" s="45">
        <v>1</v>
      </c>
      <c r="B8" s="68" t="s">
        <v>82</v>
      </c>
      <c r="C8" s="56">
        <v>45994</v>
      </c>
      <c r="D8" s="56">
        <v>45690</v>
      </c>
      <c r="E8" s="66">
        <f t="shared" ref="E8:E9" si="5">D8-C8+1</f>
        <v>-303</v>
      </c>
      <c r="F8" s="13">
        <v>45658</v>
      </c>
      <c r="G8" s="13">
        <v>45687</v>
      </c>
      <c r="H8" s="9">
        <f t="shared" si="0"/>
        <v>30</v>
      </c>
      <c r="I8" s="9">
        <f t="shared" si="1"/>
        <v>27</v>
      </c>
      <c r="J8" s="14">
        <v>10731</v>
      </c>
      <c r="K8" s="10">
        <f t="shared" si="2"/>
        <v>357.7</v>
      </c>
      <c r="L8" s="15">
        <v>30</v>
      </c>
      <c r="M8" s="10">
        <f t="shared" si="3"/>
        <v>10731</v>
      </c>
      <c r="N8" s="10">
        <f t="shared" si="4"/>
        <v>8048.25</v>
      </c>
      <c r="O8" s="17"/>
    </row>
    <row r="9" spans="1:15" x14ac:dyDescent="0.25">
      <c r="A9" s="45">
        <v>2</v>
      </c>
      <c r="B9" s="68" t="s">
        <v>145</v>
      </c>
      <c r="C9" s="56">
        <v>45657</v>
      </c>
      <c r="D9" s="56">
        <v>45666</v>
      </c>
      <c r="E9" s="66">
        <f t="shared" si="5"/>
        <v>10</v>
      </c>
      <c r="F9" s="13">
        <v>45658</v>
      </c>
      <c r="G9" s="13">
        <v>45666</v>
      </c>
      <c r="H9" s="9">
        <f t="shared" ref="H9" si="6">G9-F9+1</f>
        <v>9</v>
      </c>
      <c r="I9" s="9">
        <f t="shared" ref="I9" si="7">H9-3</f>
        <v>6</v>
      </c>
      <c r="J9" s="14">
        <v>11853</v>
      </c>
      <c r="K9" s="10">
        <f t="shared" ref="K9" si="8">J9/30</f>
        <v>395.1</v>
      </c>
      <c r="L9" s="15">
        <f t="shared" ref="L9:L10" si="9">+I9</f>
        <v>6</v>
      </c>
      <c r="M9" s="10">
        <f t="shared" ref="M9" si="10">K9*L9</f>
        <v>2370.6000000000004</v>
      </c>
      <c r="N9" s="10">
        <f t="shared" ref="N9" si="11">M9*0.75</f>
        <v>1777.9500000000003</v>
      </c>
      <c r="O9" s="17"/>
    </row>
    <row r="10" spans="1:15" ht="15.75" thickBot="1" x14ac:dyDescent="0.3">
      <c r="A10" s="45">
        <v>3</v>
      </c>
      <c r="B10" s="68" t="s">
        <v>106</v>
      </c>
      <c r="C10" s="56">
        <v>45678</v>
      </c>
      <c r="D10" s="56">
        <v>45685</v>
      </c>
      <c r="E10" s="66">
        <f t="shared" ref="E10" si="12">D10-C10+1</f>
        <v>8</v>
      </c>
      <c r="F10" s="13">
        <v>45679</v>
      </c>
      <c r="G10" s="13">
        <v>45685</v>
      </c>
      <c r="H10" s="9">
        <f t="shared" si="0"/>
        <v>7</v>
      </c>
      <c r="I10" s="9">
        <f t="shared" si="1"/>
        <v>4</v>
      </c>
      <c r="J10" s="14">
        <v>11853</v>
      </c>
      <c r="K10" s="10">
        <f t="shared" si="2"/>
        <v>395.1</v>
      </c>
      <c r="L10" s="15">
        <f t="shared" si="9"/>
        <v>4</v>
      </c>
      <c r="M10" s="10">
        <f t="shared" si="3"/>
        <v>1580.4</v>
      </c>
      <c r="N10" s="10">
        <f t="shared" si="4"/>
        <v>1185.3000000000002</v>
      </c>
      <c r="O10" s="17"/>
    </row>
    <row r="11" spans="1:15" ht="15.75" thickBot="1" x14ac:dyDescent="0.3">
      <c r="A11" s="31"/>
      <c r="B11" s="18"/>
      <c r="C11" s="18"/>
      <c r="D11" s="18"/>
      <c r="E11" s="18"/>
      <c r="F11" s="18"/>
      <c r="G11" s="18"/>
      <c r="H11" s="18"/>
      <c r="I11" s="18"/>
      <c r="J11" s="18"/>
      <c r="K11" s="31"/>
      <c r="L11" s="31"/>
      <c r="M11" s="31"/>
      <c r="N11" s="49">
        <f>SUM(N7:N10)</f>
        <v>11011.5</v>
      </c>
      <c r="O11" s="46"/>
    </row>
    <row r="12" spans="1:15" ht="15" customHeight="1" x14ac:dyDescent="0.25">
      <c r="A12" s="31"/>
      <c r="B12" s="46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31"/>
      <c r="O12" s="46"/>
    </row>
    <row r="13" spans="1:15" ht="15.75" customHeight="1" thickBot="1" x14ac:dyDescent="0.3">
      <c r="A13" s="31"/>
      <c r="B13" s="46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31"/>
      <c r="O13" s="47"/>
    </row>
    <row r="14" spans="1:15" ht="28.5" customHeight="1" thickBot="1" x14ac:dyDescent="0.3">
      <c r="A14" s="472" t="s">
        <v>6</v>
      </c>
      <c r="B14" s="450" t="s">
        <v>8</v>
      </c>
      <c r="C14" s="458" t="s">
        <v>37</v>
      </c>
      <c r="D14" s="459"/>
      <c r="E14" s="537" t="s">
        <v>7</v>
      </c>
      <c r="F14" s="460" t="s">
        <v>14</v>
      </c>
      <c r="G14" s="461"/>
      <c r="H14" s="450" t="s">
        <v>7</v>
      </c>
      <c r="I14" s="39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450" t="s">
        <v>11</v>
      </c>
    </row>
    <row r="15" spans="1:15" ht="15.75" thickBot="1" x14ac:dyDescent="0.3">
      <c r="A15" s="473"/>
      <c r="B15" s="451"/>
      <c r="C15" s="54" t="s">
        <v>38</v>
      </c>
      <c r="D15" s="54" t="s">
        <v>39</v>
      </c>
      <c r="E15" s="538"/>
      <c r="F15" s="5" t="s">
        <v>0</v>
      </c>
      <c r="G15" s="391" t="s">
        <v>1</v>
      </c>
      <c r="H15" s="451"/>
      <c r="I15" s="386"/>
      <c r="J15" s="451"/>
      <c r="K15" s="451"/>
      <c r="L15" s="451"/>
      <c r="M15" s="451"/>
      <c r="N15" s="451"/>
      <c r="O15" s="451"/>
    </row>
    <row r="16" spans="1:15" x14ac:dyDescent="0.25">
      <c r="A16" s="50"/>
      <c r="B16" s="67"/>
      <c r="C16" s="56">
        <v>0</v>
      </c>
      <c r="D16" s="56">
        <v>0</v>
      </c>
      <c r="E16" s="66">
        <f>D16-C16+1</f>
        <v>1</v>
      </c>
      <c r="F16" s="8">
        <v>0</v>
      </c>
      <c r="G16" s="8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/>
      <c r="M16" s="10">
        <f>K16*L16</f>
        <v>0</v>
      </c>
      <c r="N16" s="10">
        <f>M16*0.9</f>
        <v>0</v>
      </c>
      <c r="O16" s="11"/>
    </row>
    <row r="17" spans="1:15" x14ac:dyDescent="0.25">
      <c r="A17" s="50"/>
      <c r="B17" s="67"/>
      <c r="C17" s="56"/>
      <c r="D17" s="56"/>
      <c r="E17" s="66">
        <f>D17-C17+1</f>
        <v>1</v>
      </c>
      <c r="F17" s="8"/>
      <c r="G17" s="8"/>
      <c r="H17" s="9">
        <f>G17-F17+1</f>
        <v>1</v>
      </c>
      <c r="I17" s="9">
        <v>30</v>
      </c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11"/>
    </row>
    <row r="18" spans="1:15" ht="15.75" thickBot="1" x14ac:dyDescent="0.3">
      <c r="A18" s="50"/>
      <c r="B18" s="67"/>
      <c r="C18" s="56"/>
      <c r="D18" s="56"/>
      <c r="E18" s="66">
        <f>D18-C18+1</f>
        <v>1</v>
      </c>
      <c r="F18" s="8"/>
      <c r="G18" s="8"/>
      <c r="H18" s="9">
        <f>G18-F18+1</f>
        <v>1</v>
      </c>
      <c r="I18" s="9"/>
      <c r="J18" s="10"/>
      <c r="K18" s="10">
        <f>J18/30</f>
        <v>0</v>
      </c>
      <c r="L18" s="9"/>
      <c r="M18" s="10">
        <f>K18*L18</f>
        <v>0</v>
      </c>
      <c r="N18" s="10">
        <f>M18*0.9</f>
        <v>0</v>
      </c>
      <c r="O18" s="11"/>
    </row>
    <row r="19" spans="1:15" ht="15.75" thickBot="1" x14ac:dyDescent="0.3">
      <c r="A19" s="31"/>
      <c r="B19" s="18"/>
      <c r="C19" s="18"/>
      <c r="D19" s="18"/>
      <c r="E19" s="18"/>
      <c r="F19" s="18"/>
      <c r="G19" s="18"/>
      <c r="H19" s="18"/>
      <c r="I19" s="18"/>
      <c r="J19" s="18"/>
      <c r="K19" s="31"/>
      <c r="L19" s="31"/>
      <c r="M19" s="31"/>
      <c r="N19" s="49">
        <f>SUM(N16:N18)</f>
        <v>0</v>
      </c>
      <c r="O19" s="46"/>
    </row>
    <row r="20" spans="1:15" ht="15" customHeight="1" x14ac:dyDescent="0.25">
      <c r="A20" s="31"/>
      <c r="B20" s="46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31"/>
      <c r="O20" s="46"/>
    </row>
    <row r="21" spans="1:15" ht="15.75" customHeight="1" thickBot="1" x14ac:dyDescent="0.3">
      <c r="A21" s="31"/>
      <c r="B21" s="46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31"/>
      <c r="O21" s="47"/>
    </row>
    <row r="22" spans="1:15" ht="31.5" customHeight="1" thickBot="1" x14ac:dyDescent="0.3">
      <c r="A22" s="472" t="s">
        <v>6</v>
      </c>
      <c r="B22" s="450" t="s">
        <v>8</v>
      </c>
      <c r="C22" s="458" t="s">
        <v>37</v>
      </c>
      <c r="D22" s="459"/>
      <c r="E22" s="75"/>
      <c r="F22" s="460" t="s">
        <v>14</v>
      </c>
      <c r="G22" s="461"/>
      <c r="H22" s="450" t="s">
        <v>7</v>
      </c>
      <c r="I22" s="390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450" t="s">
        <v>11</v>
      </c>
    </row>
    <row r="23" spans="1:15" ht="15.75" thickBot="1" x14ac:dyDescent="0.3">
      <c r="A23" s="473"/>
      <c r="B23" s="451"/>
      <c r="C23" s="54" t="s">
        <v>38</v>
      </c>
      <c r="D23" s="54" t="s">
        <v>39</v>
      </c>
      <c r="E23" s="65"/>
      <c r="F23" s="5" t="s">
        <v>0</v>
      </c>
      <c r="G23" s="391" t="s">
        <v>1</v>
      </c>
      <c r="H23" s="451"/>
      <c r="I23" s="386"/>
      <c r="J23" s="451"/>
      <c r="K23" s="451"/>
      <c r="L23" s="451"/>
      <c r="M23" s="451"/>
      <c r="N23" s="451"/>
      <c r="O23" s="451"/>
    </row>
    <row r="24" spans="1:15" x14ac:dyDescent="0.25">
      <c r="A24" s="50"/>
      <c r="B24" s="67"/>
      <c r="C24" s="56">
        <v>0</v>
      </c>
      <c r="D24" s="56">
        <v>0</v>
      </c>
      <c r="E24" s="55"/>
      <c r="F24" s="8"/>
      <c r="G24" s="8"/>
      <c r="H24" s="9">
        <f>G24-F24+1</f>
        <v>1</v>
      </c>
      <c r="I24" s="9"/>
      <c r="J24" s="10">
        <v>0</v>
      </c>
      <c r="K24" s="10">
        <f>J24/30</f>
        <v>0</v>
      </c>
      <c r="L24" s="9">
        <v>0</v>
      </c>
      <c r="M24" s="10">
        <f>K24*L24</f>
        <v>0</v>
      </c>
      <c r="N24" s="10">
        <f>M24*0.9</f>
        <v>0</v>
      </c>
      <c r="O24" s="11"/>
    </row>
    <row r="25" spans="1:15" x14ac:dyDescent="0.25">
      <c r="A25" s="50"/>
      <c r="B25" s="67"/>
      <c r="C25" s="56"/>
      <c r="D25" s="56"/>
      <c r="E25" s="55"/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>
        <v>0</v>
      </c>
      <c r="M25" s="10">
        <f>K25*L25</f>
        <v>0</v>
      </c>
      <c r="N25" s="10">
        <f>M25*0.9</f>
        <v>0</v>
      </c>
      <c r="O25" s="11"/>
    </row>
    <row r="26" spans="1:15" ht="15.75" thickBot="1" x14ac:dyDescent="0.3">
      <c r="A26" s="50"/>
      <c r="B26" s="67"/>
      <c r="C26" s="56"/>
      <c r="D26" s="56"/>
      <c r="E26" s="55"/>
      <c r="F26" s="8"/>
      <c r="G26" s="8"/>
      <c r="H26" s="9">
        <f>G26-F26+1</f>
        <v>1</v>
      </c>
      <c r="I26" s="9"/>
      <c r="J26" s="10">
        <v>0</v>
      </c>
      <c r="K26" s="10">
        <f>J26/30</f>
        <v>0</v>
      </c>
      <c r="L26" s="9">
        <v>0</v>
      </c>
      <c r="M26" s="10">
        <f>K26*L26</f>
        <v>0</v>
      </c>
      <c r="N26" s="10">
        <f>M26*0.9</f>
        <v>0</v>
      </c>
      <c r="O26" s="11"/>
    </row>
    <row r="27" spans="1:15" ht="15.75" thickBot="1" x14ac:dyDescent="0.3">
      <c r="A27" s="31"/>
      <c r="B27" s="18"/>
      <c r="C27" s="18"/>
      <c r="D27" s="18"/>
      <c r="E27" s="18"/>
      <c r="F27" s="18"/>
      <c r="G27" s="18"/>
      <c r="H27" s="18"/>
      <c r="I27" s="18"/>
      <c r="J27" s="18"/>
      <c r="K27" s="31"/>
      <c r="L27" s="31"/>
      <c r="M27" s="31"/>
      <c r="N27" s="49">
        <f>SUM(N24:N26)</f>
        <v>0</v>
      </c>
      <c r="O27" s="46"/>
    </row>
    <row r="28" spans="1:15" ht="15.75" thickBot="1" x14ac:dyDescent="0.3"/>
    <row r="29" spans="1:15" ht="15.75" thickBot="1" x14ac:dyDescent="0.3">
      <c r="K29" s="447" t="s">
        <v>26</v>
      </c>
      <c r="L29" s="448"/>
      <c r="M29" s="449"/>
      <c r="N29" s="189">
        <f>N11+N19+N27</f>
        <v>11011.5</v>
      </c>
    </row>
  </sheetData>
  <mergeCells count="42">
    <mergeCell ref="A1:B1"/>
    <mergeCell ref="A2:B2"/>
    <mergeCell ref="N5:N6"/>
    <mergeCell ref="O5:O6"/>
    <mergeCell ref="A3:O3"/>
    <mergeCell ref="I5:I6"/>
    <mergeCell ref="A5:A6"/>
    <mergeCell ref="B5:B6"/>
    <mergeCell ref="F5:G5"/>
    <mergeCell ref="H5:H6"/>
    <mergeCell ref="J5:J6"/>
    <mergeCell ref="K5:K6"/>
    <mergeCell ref="L5:L6"/>
    <mergeCell ref="M5:M6"/>
    <mergeCell ref="C5:D5"/>
    <mergeCell ref="K29:M29"/>
    <mergeCell ref="N14:N15"/>
    <mergeCell ref="O14:O15"/>
    <mergeCell ref="A22:A23"/>
    <mergeCell ref="B22:B23"/>
    <mergeCell ref="F22:G22"/>
    <mergeCell ref="H22:H23"/>
    <mergeCell ref="J22:J23"/>
    <mergeCell ref="K22:K23"/>
    <mergeCell ref="L22:L23"/>
    <mergeCell ref="M22:M23"/>
    <mergeCell ref="N22:N23"/>
    <mergeCell ref="O22:O23"/>
    <mergeCell ref="C14:D14"/>
    <mergeCell ref="A14:A15"/>
    <mergeCell ref="B14:B15"/>
    <mergeCell ref="C22:D22"/>
    <mergeCell ref="E14:E15"/>
    <mergeCell ref="C4:M4"/>
    <mergeCell ref="C12:M13"/>
    <mergeCell ref="C20:M21"/>
    <mergeCell ref="F14:G14"/>
    <mergeCell ref="H14:H15"/>
    <mergeCell ref="J14:J15"/>
    <mergeCell ref="K14:K15"/>
    <mergeCell ref="L14:L15"/>
    <mergeCell ref="M14:M15"/>
  </mergeCells>
  <pageMargins left="0.9055118110236221" right="0.31496062992125984" top="0.74803149606299213" bottom="0.74803149606299213" header="0.31496062992125984" footer="0.31496062992125984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9"/>
  <sheetViews>
    <sheetView topLeftCell="A19" zoomScale="110" zoomScaleNormal="110" workbookViewId="0">
      <selection activeCell="C9" sqref="C9"/>
    </sheetView>
  </sheetViews>
  <sheetFormatPr baseColWidth="10" defaultColWidth="11.42578125" defaultRowHeight="15" x14ac:dyDescent="0.25"/>
  <cols>
    <col min="1" max="1" width="3.5703125" style="48" customWidth="1"/>
    <col min="2" max="2" width="32.85546875" style="389" bestFit="1" customWidth="1"/>
    <col min="3" max="4" width="10.5703125" style="389" customWidth="1"/>
    <col min="5" max="5" width="5" style="389" customWidth="1"/>
    <col min="6" max="7" width="10.5703125" style="389" customWidth="1"/>
    <col min="8" max="8" width="4.85546875" style="152" customWidth="1"/>
    <col min="9" max="9" width="4.5703125" style="152" customWidth="1"/>
    <col min="10" max="10" width="10.5703125" style="389" customWidth="1"/>
    <col min="11" max="11" width="8" style="48" customWidth="1"/>
    <col min="12" max="12" width="7.28515625" style="48" customWidth="1"/>
    <col min="13" max="13" width="10" style="48" customWidth="1"/>
    <col min="14" max="14" width="14.85546875" style="48" customWidth="1"/>
    <col min="15" max="15" width="17.28515625" style="52" bestFit="1" customWidth="1"/>
    <col min="16" max="16384" width="11.42578125" style="48"/>
  </cols>
  <sheetData>
    <row r="1" spans="1:15" x14ac:dyDescent="0.25">
      <c r="B1" s="503" t="s">
        <v>46</v>
      </c>
      <c r="C1" s="503"/>
    </row>
    <row r="2" spans="1:15" ht="19.5" x14ac:dyDescent="0.25">
      <c r="A2" s="98"/>
      <c r="B2" s="503" t="s">
        <v>47</v>
      </c>
      <c r="C2" s="503"/>
      <c r="N2" s="268" t="s">
        <v>65</v>
      </c>
      <c r="O2" s="269" t="s">
        <v>79</v>
      </c>
    </row>
    <row r="3" spans="1:15" ht="33.75" customHeight="1" thickBot="1" x14ac:dyDescent="0.3">
      <c r="A3" s="484" t="s">
        <v>29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  <c r="O3" s="484"/>
    </row>
    <row r="4" spans="1:15" ht="22.5" customHeight="1" thickBot="1" x14ac:dyDescent="0.3">
      <c r="A4" s="31"/>
      <c r="B4" s="31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31"/>
      <c r="O4" s="46"/>
    </row>
    <row r="5" spans="1:15" ht="30.75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 t="s">
        <v>7</v>
      </c>
      <c r="F5" s="494" t="s">
        <v>14</v>
      </c>
      <c r="G5" s="495"/>
      <c r="H5" s="539" t="s">
        <v>7</v>
      </c>
      <c r="I5" s="452"/>
      <c r="J5" s="464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64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391" t="s">
        <v>1</v>
      </c>
      <c r="H6" s="540"/>
      <c r="I6" s="453"/>
      <c r="J6" s="465"/>
      <c r="K6" s="465"/>
      <c r="L6" s="465"/>
      <c r="M6" s="465"/>
      <c r="N6" s="499"/>
      <c r="O6" s="465"/>
    </row>
    <row r="7" spans="1:15" x14ac:dyDescent="0.25">
      <c r="A7" s="45"/>
      <c r="B7" s="30"/>
      <c r="C7" s="56">
        <v>0</v>
      </c>
      <c r="D7" s="56">
        <v>0</v>
      </c>
      <c r="E7" s="66">
        <f>D7-C7+1</f>
        <v>1</v>
      </c>
      <c r="F7" s="8">
        <v>0</v>
      </c>
      <c r="G7" s="8">
        <v>0</v>
      </c>
      <c r="H7" s="318">
        <f>G7-F7+1</f>
        <v>1</v>
      </c>
      <c r="I7" s="318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">
      <c r="A8" s="317">
        <v>1</v>
      </c>
      <c r="B8" s="179" t="s">
        <v>127</v>
      </c>
      <c r="C8" s="322">
        <v>45649</v>
      </c>
      <c r="D8" s="322">
        <v>45690</v>
      </c>
      <c r="E8" s="323">
        <f>D8-C8+1</f>
        <v>42</v>
      </c>
      <c r="F8" s="324">
        <v>45658</v>
      </c>
      <c r="G8" s="324">
        <v>45687</v>
      </c>
      <c r="H8" s="318">
        <f>G8-F8+1</f>
        <v>30</v>
      </c>
      <c r="I8" s="318">
        <f>H8-3</f>
        <v>27</v>
      </c>
      <c r="J8" s="14">
        <v>9003</v>
      </c>
      <c r="K8" s="10">
        <f>J8/30</f>
        <v>300.10000000000002</v>
      </c>
      <c r="L8" s="320">
        <v>30</v>
      </c>
      <c r="M8" s="321">
        <f>K8*L8</f>
        <v>9003</v>
      </c>
      <c r="N8" s="321">
        <f>M8*0.75</f>
        <v>6752.25</v>
      </c>
      <c r="O8" s="17"/>
    </row>
    <row r="9" spans="1:15" x14ac:dyDescent="0.2">
      <c r="A9" s="317"/>
      <c r="B9" s="179"/>
      <c r="C9" s="322"/>
      <c r="D9" s="322"/>
      <c r="E9" s="323">
        <f>D9-C9+1</f>
        <v>1</v>
      </c>
      <c r="F9" s="324"/>
      <c r="G9" s="324"/>
      <c r="H9" s="318">
        <f>G9-F9+1</f>
        <v>1</v>
      </c>
      <c r="I9" s="318">
        <f>H9-3</f>
        <v>-2</v>
      </c>
      <c r="J9" s="14"/>
      <c r="K9" s="10">
        <f>J9/30</f>
        <v>0</v>
      </c>
      <c r="L9" s="320"/>
      <c r="M9" s="321">
        <f>K9*L9</f>
        <v>0</v>
      </c>
      <c r="N9" s="321">
        <f>M9*0.75</f>
        <v>0</v>
      </c>
      <c r="O9" s="17"/>
    </row>
    <row r="10" spans="1:15" ht="15.75" thickBot="1" x14ac:dyDescent="0.25">
      <c r="A10" s="317"/>
      <c r="B10" s="179"/>
      <c r="C10" s="56"/>
      <c r="D10" s="56"/>
      <c r="E10" s="66">
        <f>D10-C10+1</f>
        <v>1</v>
      </c>
      <c r="F10" s="13"/>
      <c r="G10" s="13"/>
      <c r="H10" s="318">
        <f>G10-F10+1</f>
        <v>1</v>
      </c>
      <c r="I10" s="318">
        <f>H10-3</f>
        <v>-2</v>
      </c>
      <c r="J10" s="14"/>
      <c r="K10" s="10">
        <f>J10/30</f>
        <v>0</v>
      </c>
      <c r="L10" s="9"/>
      <c r="M10" s="10">
        <f>K10*L10</f>
        <v>0</v>
      </c>
      <c r="N10" s="10">
        <f>M10*0.75</f>
        <v>0</v>
      </c>
      <c r="O10" s="17"/>
    </row>
    <row r="11" spans="1:15" ht="15.75" thickBot="1" x14ac:dyDescent="0.3">
      <c r="A11" s="31"/>
      <c r="B11" s="18"/>
      <c r="C11" s="18"/>
      <c r="D11" s="18"/>
      <c r="E11" s="18"/>
      <c r="F11" s="18"/>
      <c r="G11" s="18"/>
      <c r="H11" s="149"/>
      <c r="I11" s="149"/>
      <c r="J11" s="18"/>
      <c r="K11" s="31"/>
      <c r="L11" s="31"/>
      <c r="M11" s="31"/>
      <c r="N11" s="49">
        <f>SUM(N7:N10)</f>
        <v>6752.25</v>
      </c>
      <c r="O11" s="46"/>
    </row>
    <row r="12" spans="1:15" ht="15" customHeight="1" x14ac:dyDescent="0.25">
      <c r="A12" s="31"/>
      <c r="B12" s="31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31"/>
      <c r="O12" s="46"/>
    </row>
    <row r="13" spans="1:15" ht="15.75" customHeight="1" thickBot="1" x14ac:dyDescent="0.3">
      <c r="A13" s="31"/>
      <c r="B13" s="31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31"/>
      <c r="O13" s="47"/>
    </row>
    <row r="14" spans="1:15" ht="26.25" customHeight="1" thickBot="1" x14ac:dyDescent="0.3">
      <c r="A14" s="472" t="s">
        <v>6</v>
      </c>
      <c r="B14" s="472" t="s">
        <v>8</v>
      </c>
      <c r="C14" s="458" t="s">
        <v>37</v>
      </c>
      <c r="D14" s="459"/>
      <c r="E14" s="537" t="s">
        <v>7</v>
      </c>
      <c r="F14" s="460" t="s">
        <v>14</v>
      </c>
      <c r="G14" s="461"/>
      <c r="H14" s="452" t="s">
        <v>7</v>
      </c>
      <c r="I14" s="319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450" t="s">
        <v>11</v>
      </c>
    </row>
    <row r="15" spans="1:15" ht="15.75" thickBot="1" x14ac:dyDescent="0.3">
      <c r="A15" s="473"/>
      <c r="B15" s="473"/>
      <c r="C15" s="54" t="s">
        <v>38</v>
      </c>
      <c r="D15" s="54" t="s">
        <v>39</v>
      </c>
      <c r="E15" s="538"/>
      <c r="F15" s="5" t="s">
        <v>0</v>
      </c>
      <c r="G15" s="391" t="s">
        <v>1</v>
      </c>
      <c r="H15" s="453"/>
      <c r="I15" s="388"/>
      <c r="J15" s="451"/>
      <c r="K15" s="451"/>
      <c r="L15" s="451"/>
      <c r="M15" s="451"/>
      <c r="N15" s="451"/>
      <c r="O15" s="451"/>
    </row>
    <row r="16" spans="1:15" x14ac:dyDescent="0.25">
      <c r="A16" s="50"/>
      <c r="B16" s="30"/>
      <c r="C16" s="56">
        <v>0</v>
      </c>
      <c r="D16" s="56">
        <v>0</v>
      </c>
      <c r="E16" s="66">
        <f>D16-C16+1</f>
        <v>1</v>
      </c>
      <c r="F16" s="8">
        <v>0</v>
      </c>
      <c r="G16" s="8">
        <v>0</v>
      </c>
      <c r="H16" s="318">
        <f>G16-F16+1</f>
        <v>1</v>
      </c>
      <c r="I16" s="318"/>
      <c r="J16" s="10">
        <v>0</v>
      </c>
      <c r="K16" s="10">
        <f>J16/30</f>
        <v>0</v>
      </c>
      <c r="L16" s="9"/>
      <c r="M16" s="10">
        <f>K16*L16</f>
        <v>0</v>
      </c>
      <c r="N16" s="10">
        <f>M16*0.9</f>
        <v>0</v>
      </c>
      <c r="O16" s="99"/>
    </row>
    <row r="17" spans="1:15" x14ac:dyDescent="0.25">
      <c r="A17" s="50">
        <v>1</v>
      </c>
      <c r="B17" s="179"/>
      <c r="C17" s="56"/>
      <c r="D17" s="56"/>
      <c r="E17" s="66">
        <f>D17-C17+1</f>
        <v>1</v>
      </c>
      <c r="F17" s="8"/>
      <c r="G17" s="8"/>
      <c r="H17" s="318">
        <f>G17-F17+1</f>
        <v>1</v>
      </c>
      <c r="I17" s="318"/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11"/>
    </row>
    <row r="18" spans="1:15" ht="15.75" thickBot="1" x14ac:dyDescent="0.3">
      <c r="A18" s="50"/>
      <c r="B18" s="30"/>
      <c r="C18" s="56"/>
      <c r="D18" s="56"/>
      <c r="E18" s="66">
        <f>D18-C18+1</f>
        <v>1</v>
      </c>
      <c r="F18" s="8"/>
      <c r="G18" s="8"/>
      <c r="H18" s="318">
        <f>G18-F18+1</f>
        <v>1</v>
      </c>
      <c r="I18" s="318"/>
      <c r="J18" s="10">
        <v>0</v>
      </c>
      <c r="K18" s="10">
        <f>J18/30</f>
        <v>0</v>
      </c>
      <c r="L18" s="9"/>
      <c r="M18" s="10">
        <f>K18*L18</f>
        <v>0</v>
      </c>
      <c r="N18" s="10">
        <f>M18*0.9</f>
        <v>0</v>
      </c>
      <c r="O18" s="11"/>
    </row>
    <row r="19" spans="1:15" ht="15.75" thickBot="1" x14ac:dyDescent="0.3">
      <c r="A19" s="31"/>
      <c r="B19" s="18"/>
      <c r="C19" s="18"/>
      <c r="D19" s="18"/>
      <c r="E19" s="18"/>
      <c r="F19" s="18"/>
      <c r="G19" s="18"/>
      <c r="H19" s="149"/>
      <c r="I19" s="149"/>
      <c r="J19" s="18"/>
      <c r="K19" s="31"/>
      <c r="L19" s="31"/>
      <c r="M19" s="31"/>
      <c r="N19" s="49">
        <f>SUM(N16:N18)</f>
        <v>0</v>
      </c>
      <c r="O19" s="46"/>
    </row>
    <row r="20" spans="1:15" ht="15" customHeight="1" x14ac:dyDescent="0.25">
      <c r="A20" s="31"/>
      <c r="B20" s="31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31"/>
      <c r="O20" s="46"/>
    </row>
    <row r="21" spans="1:15" ht="15.75" customHeight="1" thickBot="1" x14ac:dyDescent="0.3">
      <c r="A21" s="31"/>
      <c r="B21" s="31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31"/>
      <c r="O21" s="47"/>
    </row>
    <row r="22" spans="1:15" ht="26.25" customHeight="1" thickBot="1" x14ac:dyDescent="0.3">
      <c r="A22" s="472" t="s">
        <v>6</v>
      </c>
      <c r="B22" s="472" t="s">
        <v>8</v>
      </c>
      <c r="C22" s="458" t="s">
        <v>37</v>
      </c>
      <c r="D22" s="459"/>
      <c r="E22" s="537" t="s">
        <v>7</v>
      </c>
      <c r="F22" s="460" t="s">
        <v>14</v>
      </c>
      <c r="G22" s="461"/>
      <c r="H22" s="452" t="s">
        <v>7</v>
      </c>
      <c r="I22" s="319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450" t="s">
        <v>11</v>
      </c>
    </row>
    <row r="23" spans="1:15" ht="15.75" thickBot="1" x14ac:dyDescent="0.3">
      <c r="A23" s="473"/>
      <c r="B23" s="473"/>
      <c r="C23" s="54" t="s">
        <v>38</v>
      </c>
      <c r="D23" s="54" t="s">
        <v>39</v>
      </c>
      <c r="E23" s="538"/>
      <c r="F23" s="5" t="s">
        <v>0</v>
      </c>
      <c r="G23" s="391" t="s">
        <v>1</v>
      </c>
      <c r="H23" s="453"/>
      <c r="I23" s="388"/>
      <c r="J23" s="451"/>
      <c r="K23" s="451"/>
      <c r="L23" s="451"/>
      <c r="M23" s="451"/>
      <c r="N23" s="451"/>
      <c r="O23" s="451"/>
    </row>
    <row r="24" spans="1:15" x14ac:dyDescent="0.25">
      <c r="A24" s="50"/>
      <c r="B24" s="30"/>
      <c r="C24" s="56">
        <v>0</v>
      </c>
      <c r="D24" s="56">
        <v>0</v>
      </c>
      <c r="E24" s="66">
        <f>D24-C24+1</f>
        <v>1</v>
      </c>
      <c r="F24" s="8"/>
      <c r="G24" s="8"/>
      <c r="H24" s="318">
        <f>G24-F24+1</f>
        <v>1</v>
      </c>
      <c r="I24" s="318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x14ac:dyDescent="0.25">
      <c r="A25" s="50"/>
      <c r="B25" s="30"/>
      <c r="C25" s="56"/>
      <c r="D25" s="56"/>
      <c r="E25" s="66">
        <f>D25-C25+1</f>
        <v>1</v>
      </c>
      <c r="F25" s="8"/>
      <c r="G25" s="8"/>
      <c r="H25" s="318">
        <f>G25-F25+1</f>
        <v>1</v>
      </c>
      <c r="I25" s="318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11"/>
    </row>
    <row r="26" spans="1:15" ht="15.75" thickBot="1" x14ac:dyDescent="0.3">
      <c r="A26" s="50"/>
      <c r="B26" s="30"/>
      <c r="C26" s="56"/>
      <c r="D26" s="56"/>
      <c r="E26" s="66">
        <f>D26-C26+1</f>
        <v>1</v>
      </c>
      <c r="F26" s="8"/>
      <c r="G26" s="8"/>
      <c r="H26" s="318">
        <f>G26-F26+1</f>
        <v>1</v>
      </c>
      <c r="I26" s="318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11"/>
    </row>
    <row r="27" spans="1:15" ht="15.75" thickBot="1" x14ac:dyDescent="0.3">
      <c r="A27" s="31"/>
      <c r="B27" s="18"/>
      <c r="C27" s="18"/>
      <c r="D27" s="18"/>
      <c r="E27" s="18"/>
      <c r="F27" s="18"/>
      <c r="G27" s="18"/>
      <c r="H27" s="149"/>
      <c r="I27" s="149"/>
      <c r="J27" s="18"/>
      <c r="K27" s="31"/>
      <c r="L27" s="31"/>
      <c r="M27" s="31"/>
      <c r="N27" s="49">
        <f>SUM(N24:N26)</f>
        <v>0</v>
      </c>
      <c r="O27" s="46"/>
    </row>
    <row r="28" spans="1:15" ht="15.75" thickBot="1" x14ac:dyDescent="0.3"/>
    <row r="29" spans="1:15" ht="16.5" thickBot="1" x14ac:dyDescent="0.3">
      <c r="K29" s="447" t="s">
        <v>26</v>
      </c>
      <c r="L29" s="448"/>
      <c r="M29" s="449"/>
      <c r="N29" s="180">
        <f>N27+N19+N11</f>
        <v>6752.25</v>
      </c>
    </row>
  </sheetData>
  <mergeCells count="44">
    <mergeCell ref="B1:C1"/>
    <mergeCell ref="B2:C2"/>
    <mergeCell ref="A3:O3"/>
    <mergeCell ref="A5:A6"/>
    <mergeCell ref="B5:B6"/>
    <mergeCell ref="F5:G5"/>
    <mergeCell ref="H5:H6"/>
    <mergeCell ref="I5:I6"/>
    <mergeCell ref="J5:J6"/>
    <mergeCell ref="K5:K6"/>
    <mergeCell ref="C5:D5"/>
    <mergeCell ref="E5:E6"/>
    <mergeCell ref="C4:M4"/>
    <mergeCell ref="A14:A15"/>
    <mergeCell ref="B14:B15"/>
    <mergeCell ref="F14:G14"/>
    <mergeCell ref="H14:H15"/>
    <mergeCell ref="C14:D14"/>
    <mergeCell ref="E14:E15"/>
    <mergeCell ref="O14:O15"/>
    <mergeCell ref="L5:L6"/>
    <mergeCell ref="M5:M6"/>
    <mergeCell ref="N5:N6"/>
    <mergeCell ref="O5:O6"/>
    <mergeCell ref="C12:M13"/>
    <mergeCell ref="J14:J15"/>
    <mergeCell ref="K14:K15"/>
    <mergeCell ref="L14:L15"/>
    <mergeCell ref="M14:M15"/>
    <mergeCell ref="N14:N15"/>
    <mergeCell ref="C20:M21"/>
    <mergeCell ref="N22:N23"/>
    <mergeCell ref="O22:O23"/>
    <mergeCell ref="K29:M29"/>
    <mergeCell ref="A22:A23"/>
    <mergeCell ref="B22:B23"/>
    <mergeCell ref="F22:G22"/>
    <mergeCell ref="H22:H23"/>
    <mergeCell ref="J22:J23"/>
    <mergeCell ref="K22:K23"/>
    <mergeCell ref="L22:L23"/>
    <mergeCell ref="M22:M23"/>
    <mergeCell ref="C22:D22"/>
    <mergeCell ref="E22:E23"/>
  </mergeCells>
  <pageMargins left="0.51181102362204722" right="0.31496062992125984" top="0.74803149606299213" bottom="0.74803149606299213" header="0.31496062992125984" footer="0.31496062992125984"/>
  <pageSetup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"/>
  <sheetViews>
    <sheetView view="pageBreakPreview" topLeftCell="A7" zoomScale="110" zoomScaleNormal="115" zoomScaleSheetLayoutView="110" workbookViewId="0">
      <selection activeCell="L10" sqref="L10"/>
    </sheetView>
  </sheetViews>
  <sheetFormatPr baseColWidth="10" defaultColWidth="11.42578125" defaultRowHeight="15" x14ac:dyDescent="0.25"/>
  <cols>
    <col min="1" max="1" width="3.5703125" customWidth="1"/>
    <col min="2" max="2" width="32.42578125" style="1" bestFit="1" customWidth="1"/>
    <col min="3" max="4" width="10.140625" style="1" customWidth="1"/>
    <col min="5" max="5" width="5.42578125" style="1" bestFit="1" customWidth="1"/>
    <col min="6" max="7" width="10.140625" style="1" customWidth="1"/>
    <col min="8" max="8" width="4.85546875" style="1" customWidth="1"/>
    <col min="9" max="9" width="4.5703125" style="1" customWidth="1"/>
    <col min="10" max="10" width="11.140625" style="1" customWidth="1"/>
    <col min="11" max="11" width="9.42578125" customWidth="1"/>
    <col min="12" max="12" width="12.42578125" bestFit="1" customWidth="1"/>
    <col min="13" max="13" width="14.85546875" bestFit="1" customWidth="1"/>
    <col min="15" max="15" width="17.28515625" style="82" bestFit="1" customWidth="1"/>
  </cols>
  <sheetData>
    <row r="1" spans="1:15" x14ac:dyDescent="0.25">
      <c r="B1" s="274" t="s">
        <v>46</v>
      </c>
      <c r="C1" s="274"/>
      <c r="D1" s="274"/>
      <c r="E1" s="274"/>
      <c r="F1" s="274"/>
      <c r="G1" s="274"/>
      <c r="H1" s="274"/>
      <c r="I1" s="274"/>
      <c r="J1" s="274"/>
    </row>
    <row r="2" spans="1:15" x14ac:dyDescent="0.25">
      <c r="B2" s="274" t="s">
        <v>47</v>
      </c>
      <c r="C2" s="274"/>
      <c r="D2" s="274"/>
      <c r="E2" s="274"/>
      <c r="F2" s="274"/>
      <c r="G2" s="274"/>
      <c r="H2" s="274"/>
      <c r="I2" s="274"/>
      <c r="J2" s="274"/>
      <c r="M2" t="s">
        <v>65</v>
      </c>
      <c r="O2" s="82" t="s">
        <v>79</v>
      </c>
    </row>
    <row r="3" spans="1:15" ht="19.5" x14ac:dyDescent="0.3">
      <c r="A3" s="23"/>
    </row>
    <row r="4" spans="1:15" ht="33.75" customHeight="1" thickBot="1" x14ac:dyDescent="0.5">
      <c r="A4" s="550" t="s">
        <v>30</v>
      </c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</row>
    <row r="5" spans="1:15" ht="22.5" customHeight="1" thickBot="1" x14ac:dyDescent="0.35">
      <c r="A5" s="4"/>
      <c r="B5" s="79"/>
      <c r="C5" s="551" t="s">
        <v>17</v>
      </c>
      <c r="D5" s="552"/>
      <c r="E5" s="552"/>
      <c r="F5" s="552"/>
      <c r="G5" s="552"/>
      <c r="H5" s="552"/>
      <c r="I5" s="552"/>
      <c r="J5" s="552"/>
      <c r="K5" s="552"/>
      <c r="L5" s="552"/>
      <c r="M5" s="553"/>
      <c r="N5" s="4"/>
      <c r="O5" s="79"/>
    </row>
    <row r="6" spans="1:15" ht="30.75" customHeight="1" thickBot="1" x14ac:dyDescent="0.3">
      <c r="A6" s="490" t="s">
        <v>6</v>
      </c>
      <c r="B6" s="450" t="s">
        <v>8</v>
      </c>
      <c r="C6" s="458" t="s">
        <v>37</v>
      </c>
      <c r="D6" s="459"/>
      <c r="E6" s="537" t="s">
        <v>7</v>
      </c>
      <c r="F6" s="494" t="s">
        <v>14</v>
      </c>
      <c r="G6" s="495"/>
      <c r="H6" s="464" t="s">
        <v>7</v>
      </c>
      <c r="I6" s="450"/>
      <c r="J6" s="464" t="s">
        <v>2</v>
      </c>
      <c r="K6" s="464" t="s">
        <v>3</v>
      </c>
      <c r="L6" s="464" t="s">
        <v>4</v>
      </c>
      <c r="M6" s="464" t="s">
        <v>5</v>
      </c>
      <c r="N6" s="498" t="s">
        <v>9</v>
      </c>
      <c r="O6" s="464" t="s">
        <v>11</v>
      </c>
    </row>
    <row r="7" spans="1:15" ht="15.75" thickBot="1" x14ac:dyDescent="0.3">
      <c r="A7" s="491"/>
      <c r="B7" s="451"/>
      <c r="C7" s="54" t="s">
        <v>38</v>
      </c>
      <c r="D7" s="54" t="s">
        <v>39</v>
      </c>
      <c r="E7" s="538"/>
      <c r="F7" s="5" t="s">
        <v>0</v>
      </c>
      <c r="G7" s="25" t="s">
        <v>1</v>
      </c>
      <c r="H7" s="465"/>
      <c r="I7" s="451"/>
      <c r="J7" s="465"/>
      <c r="K7" s="465"/>
      <c r="L7" s="465"/>
      <c r="M7" s="465"/>
      <c r="N7" s="499"/>
      <c r="O7" s="465"/>
    </row>
    <row r="8" spans="1:15" x14ac:dyDescent="0.25">
      <c r="A8" s="6"/>
      <c r="B8" s="112"/>
      <c r="C8" s="56">
        <v>0</v>
      </c>
      <c r="D8" s="56">
        <v>0</v>
      </c>
      <c r="E8" s="66">
        <f>D8-C8+1</f>
        <v>1</v>
      </c>
      <c r="F8" s="8">
        <v>0</v>
      </c>
      <c r="G8" s="8">
        <v>0</v>
      </c>
      <c r="H8" s="9">
        <f>G8-F8+1</f>
        <v>1</v>
      </c>
      <c r="I8" s="9">
        <f>H8-3</f>
        <v>-2</v>
      </c>
      <c r="J8" s="10">
        <v>0</v>
      </c>
      <c r="K8" s="10">
        <f>J8/30</f>
        <v>0</v>
      </c>
      <c r="L8" s="9">
        <v>0</v>
      </c>
      <c r="M8" s="10">
        <f>K8*L8</f>
        <v>0</v>
      </c>
      <c r="N8" s="10">
        <f>M8*0.75</f>
        <v>0</v>
      </c>
      <c r="O8" s="11"/>
    </row>
    <row r="9" spans="1:15" ht="15.75" customHeight="1" x14ac:dyDescent="0.25">
      <c r="A9" s="6">
        <v>1</v>
      </c>
      <c r="B9" s="113" t="s">
        <v>83</v>
      </c>
      <c r="C9" s="56">
        <v>45674</v>
      </c>
      <c r="D9" s="56">
        <v>45701</v>
      </c>
      <c r="E9" s="66">
        <f>D9-C9+1</f>
        <v>28</v>
      </c>
      <c r="F9" s="13">
        <v>45674</v>
      </c>
      <c r="G9" s="13">
        <v>45687</v>
      </c>
      <c r="H9" s="9">
        <f>G9-F9+1</f>
        <v>14</v>
      </c>
      <c r="I9" s="9">
        <f>H9-3</f>
        <v>11</v>
      </c>
      <c r="J9" s="14">
        <v>9461</v>
      </c>
      <c r="K9" s="14">
        <f>J9/30</f>
        <v>315.36666666666667</v>
      </c>
      <c r="L9" s="15">
        <f>+I9</f>
        <v>11</v>
      </c>
      <c r="M9" s="14">
        <f>K9*L9</f>
        <v>3469.0333333333333</v>
      </c>
      <c r="N9" s="14">
        <f>M9*0.75</f>
        <v>2601.7750000000001</v>
      </c>
      <c r="O9" s="17"/>
    </row>
    <row r="10" spans="1:15" ht="15" customHeight="1" x14ac:dyDescent="0.25">
      <c r="A10" s="6"/>
      <c r="B10" s="112"/>
      <c r="C10" s="56"/>
      <c r="D10" s="56"/>
      <c r="E10" s="66">
        <f>D10-C10+1</f>
        <v>1</v>
      </c>
      <c r="F10" s="56"/>
      <c r="G10" s="56"/>
      <c r="H10" s="9">
        <f>G10-F10+1</f>
        <v>1</v>
      </c>
      <c r="I10" s="9">
        <f>H10-3</f>
        <v>-2</v>
      </c>
      <c r="J10" s="14"/>
      <c r="K10" s="14">
        <f>J10/30</f>
        <v>0</v>
      </c>
      <c r="L10" s="15"/>
      <c r="M10" s="14">
        <f>K10*L10</f>
        <v>0</v>
      </c>
      <c r="N10" s="14">
        <f>M10*0.75</f>
        <v>0</v>
      </c>
      <c r="O10" s="11"/>
    </row>
    <row r="11" spans="1:15" ht="15.75" customHeight="1" thickBot="1" x14ac:dyDescent="0.3">
      <c r="A11" s="6"/>
      <c r="B11" s="113"/>
      <c r="C11" s="56"/>
      <c r="D11" s="56"/>
      <c r="E11" s="66">
        <f>D11-C11+1</f>
        <v>1</v>
      </c>
      <c r="F11" s="13"/>
      <c r="G11" s="13"/>
      <c r="H11" s="9">
        <f>G11-F11+1</f>
        <v>1</v>
      </c>
      <c r="I11" s="9">
        <f>H11-3</f>
        <v>-2</v>
      </c>
      <c r="J11" s="14"/>
      <c r="K11" s="14">
        <f>J11/30</f>
        <v>0</v>
      </c>
      <c r="L11" s="15"/>
      <c r="M11" s="14">
        <f>K11*L11</f>
        <v>0</v>
      </c>
      <c r="N11" s="14">
        <f>M11*0.75</f>
        <v>0</v>
      </c>
      <c r="O11" s="17"/>
    </row>
    <row r="12" spans="1:15" ht="15.75" thickBot="1" x14ac:dyDescent="0.3">
      <c r="A12" s="4"/>
      <c r="B12" s="18"/>
      <c r="C12" s="18"/>
      <c r="D12" s="18"/>
      <c r="E12" s="18"/>
      <c r="F12" s="18"/>
      <c r="G12" s="18"/>
      <c r="H12" s="18"/>
      <c r="I12" s="18"/>
      <c r="J12" s="18"/>
      <c r="K12" s="4"/>
      <c r="L12" s="4"/>
      <c r="M12" s="4"/>
      <c r="N12" s="27">
        <f>SUM(N8:N11)</f>
        <v>2601.7750000000001</v>
      </c>
      <c r="O12" s="79"/>
    </row>
    <row r="13" spans="1:15" ht="15" customHeight="1" x14ac:dyDescent="0.25">
      <c r="A13" s="4"/>
      <c r="B13" s="79"/>
      <c r="C13" s="541" t="s">
        <v>13</v>
      </c>
      <c r="D13" s="542"/>
      <c r="E13" s="542"/>
      <c r="F13" s="542"/>
      <c r="G13" s="542"/>
      <c r="H13" s="542"/>
      <c r="I13" s="542"/>
      <c r="J13" s="542"/>
      <c r="K13" s="542"/>
      <c r="L13" s="542"/>
      <c r="M13" s="543"/>
      <c r="N13" s="4"/>
      <c r="O13" s="79"/>
    </row>
    <row r="14" spans="1:15" ht="9" customHeight="1" thickBot="1" x14ac:dyDescent="0.3">
      <c r="A14" s="4"/>
      <c r="B14" s="79"/>
      <c r="C14" s="544"/>
      <c r="D14" s="545"/>
      <c r="E14" s="545"/>
      <c r="F14" s="545"/>
      <c r="G14" s="545"/>
      <c r="H14" s="545"/>
      <c r="I14" s="545"/>
      <c r="J14" s="545"/>
      <c r="K14" s="545"/>
      <c r="L14" s="545"/>
      <c r="M14" s="546"/>
      <c r="N14" s="4"/>
      <c r="O14" s="47"/>
    </row>
    <row r="15" spans="1:15" ht="26.25" customHeight="1" thickBot="1" x14ac:dyDescent="0.3">
      <c r="A15" s="472" t="s">
        <v>6</v>
      </c>
      <c r="B15" s="450" t="s">
        <v>8</v>
      </c>
      <c r="C15" s="458" t="s">
        <v>37</v>
      </c>
      <c r="D15" s="459"/>
      <c r="E15" s="537" t="s">
        <v>7</v>
      </c>
      <c r="F15" s="460" t="s">
        <v>14</v>
      </c>
      <c r="G15" s="461"/>
      <c r="H15" s="450" t="s">
        <v>7</v>
      </c>
      <c r="I15" s="20"/>
      <c r="J15" s="450" t="s">
        <v>2</v>
      </c>
      <c r="K15" s="450" t="s">
        <v>3</v>
      </c>
      <c r="L15" s="450" t="s">
        <v>4</v>
      </c>
      <c r="M15" s="450" t="s">
        <v>5</v>
      </c>
      <c r="N15" s="450" t="s">
        <v>10</v>
      </c>
      <c r="O15" s="450" t="s">
        <v>11</v>
      </c>
    </row>
    <row r="16" spans="1:15" ht="15.75" thickBot="1" x14ac:dyDescent="0.3">
      <c r="A16" s="473"/>
      <c r="B16" s="451"/>
      <c r="C16" s="54" t="s">
        <v>38</v>
      </c>
      <c r="D16" s="54" t="s">
        <v>39</v>
      </c>
      <c r="E16" s="538"/>
      <c r="F16" s="5" t="s">
        <v>0</v>
      </c>
      <c r="G16" s="25" t="s">
        <v>1</v>
      </c>
      <c r="H16" s="451"/>
      <c r="I16" s="24"/>
      <c r="J16" s="451"/>
      <c r="K16" s="451"/>
      <c r="L16" s="451"/>
      <c r="M16" s="451"/>
      <c r="N16" s="451"/>
      <c r="O16" s="451"/>
    </row>
    <row r="17" spans="1:15" x14ac:dyDescent="0.25">
      <c r="A17" s="21"/>
      <c r="B17" s="112"/>
      <c r="C17" s="56">
        <v>0</v>
      </c>
      <c r="D17" s="56">
        <v>0</v>
      </c>
      <c r="E17" s="66">
        <f>D17-C17+1</f>
        <v>1</v>
      </c>
      <c r="F17" s="8"/>
      <c r="G17" s="8"/>
      <c r="H17" s="9">
        <f>G17-F17+1</f>
        <v>1</v>
      </c>
      <c r="I17" s="9"/>
      <c r="J17" s="10">
        <v>0</v>
      </c>
      <c r="K17" s="10">
        <f>J17/30</f>
        <v>0</v>
      </c>
      <c r="L17" s="9"/>
      <c r="M17" s="10">
        <f>K17*L17</f>
        <v>0</v>
      </c>
      <c r="N17" s="10">
        <f>M17*0.9</f>
        <v>0</v>
      </c>
      <c r="O17" s="108"/>
    </row>
    <row r="18" spans="1:15" x14ac:dyDescent="0.25">
      <c r="A18" s="21"/>
      <c r="B18" s="112"/>
      <c r="C18" s="56"/>
      <c r="D18" s="56"/>
      <c r="E18" s="66">
        <f>D18-C18+1</f>
        <v>1</v>
      </c>
      <c r="F18" s="8"/>
      <c r="G18" s="8"/>
      <c r="H18" s="9">
        <f>G18-F18+1</f>
        <v>1</v>
      </c>
      <c r="I18" s="9"/>
      <c r="J18" s="10">
        <v>0</v>
      </c>
      <c r="K18" s="10">
        <f>J18/30</f>
        <v>0</v>
      </c>
      <c r="L18" s="9"/>
      <c r="M18" s="10">
        <f>K18*L18</f>
        <v>0</v>
      </c>
      <c r="N18" s="10">
        <f>M18*0.9</f>
        <v>0</v>
      </c>
      <c r="O18" s="22"/>
    </row>
    <row r="19" spans="1:15" ht="15.75" thickBot="1" x14ac:dyDescent="0.3">
      <c r="A19" s="21"/>
      <c r="B19" s="112"/>
      <c r="C19" s="56"/>
      <c r="D19" s="56"/>
      <c r="E19" s="66">
        <f>D19-C19+1</f>
        <v>1</v>
      </c>
      <c r="F19" s="8"/>
      <c r="G19" s="8"/>
      <c r="H19" s="9">
        <f>G19-F19+1</f>
        <v>1</v>
      </c>
      <c r="I19" s="9"/>
      <c r="J19" s="10">
        <v>0</v>
      </c>
      <c r="K19" s="10">
        <f>J19/30</f>
        <v>0</v>
      </c>
      <c r="L19" s="9"/>
      <c r="M19" s="10">
        <f>K19*L19</f>
        <v>0</v>
      </c>
      <c r="N19" s="10">
        <f>M19*0.9</f>
        <v>0</v>
      </c>
      <c r="O19" s="22"/>
    </row>
    <row r="20" spans="1:15" ht="15.75" thickBot="1" x14ac:dyDescent="0.3">
      <c r="A20" s="4"/>
      <c r="B20" s="18"/>
      <c r="C20" s="18"/>
      <c r="D20" s="18"/>
      <c r="E20" s="18"/>
      <c r="F20" s="18"/>
      <c r="G20" s="18"/>
      <c r="H20" s="18"/>
      <c r="I20" s="18"/>
      <c r="J20" s="18"/>
      <c r="K20" s="4"/>
      <c r="L20" s="4"/>
      <c r="M20" s="4"/>
      <c r="N20" s="27">
        <f>SUM(N17:N19)</f>
        <v>0</v>
      </c>
      <c r="O20" s="79"/>
    </row>
    <row r="21" spans="1:15" ht="15" customHeight="1" x14ac:dyDescent="0.25">
      <c r="A21" s="4"/>
      <c r="B21" s="79"/>
      <c r="C21" s="541" t="s">
        <v>25</v>
      </c>
      <c r="D21" s="542"/>
      <c r="E21" s="542"/>
      <c r="F21" s="542"/>
      <c r="G21" s="542"/>
      <c r="H21" s="542"/>
      <c r="I21" s="542"/>
      <c r="J21" s="542"/>
      <c r="K21" s="542"/>
      <c r="L21" s="542"/>
      <c r="M21" s="543"/>
      <c r="N21" s="4"/>
      <c r="O21" s="79"/>
    </row>
    <row r="22" spans="1:15" ht="12" customHeight="1" thickBot="1" x14ac:dyDescent="0.3">
      <c r="A22" s="4"/>
      <c r="B22" s="79"/>
      <c r="C22" s="544"/>
      <c r="D22" s="545"/>
      <c r="E22" s="545"/>
      <c r="F22" s="545"/>
      <c r="G22" s="545"/>
      <c r="H22" s="545"/>
      <c r="I22" s="545"/>
      <c r="J22" s="545"/>
      <c r="K22" s="545"/>
      <c r="L22" s="545"/>
      <c r="M22" s="546"/>
      <c r="N22" s="4"/>
      <c r="O22" s="47"/>
    </row>
    <row r="23" spans="1:15" ht="26.25" customHeight="1" thickBot="1" x14ac:dyDescent="0.3">
      <c r="A23" s="472" t="s">
        <v>6</v>
      </c>
      <c r="B23" s="450" t="s">
        <v>8</v>
      </c>
      <c r="C23" s="458" t="s">
        <v>37</v>
      </c>
      <c r="D23" s="459"/>
      <c r="E23" s="537" t="s">
        <v>7</v>
      </c>
      <c r="F23" s="460" t="s">
        <v>14</v>
      </c>
      <c r="G23" s="461"/>
      <c r="H23" s="450" t="s">
        <v>7</v>
      </c>
      <c r="I23" s="20"/>
      <c r="J23" s="450" t="s">
        <v>2</v>
      </c>
      <c r="K23" s="450" t="s">
        <v>3</v>
      </c>
      <c r="L23" s="450" t="s">
        <v>4</v>
      </c>
      <c r="M23" s="450" t="s">
        <v>5</v>
      </c>
      <c r="N23" s="450" t="s">
        <v>10</v>
      </c>
      <c r="O23" s="450" t="s">
        <v>11</v>
      </c>
    </row>
    <row r="24" spans="1:15" ht="15.75" thickBot="1" x14ac:dyDescent="0.3">
      <c r="A24" s="473"/>
      <c r="B24" s="451"/>
      <c r="C24" s="54" t="s">
        <v>38</v>
      </c>
      <c r="D24" s="54" t="s">
        <v>39</v>
      </c>
      <c r="E24" s="538"/>
      <c r="F24" s="5" t="s">
        <v>0</v>
      </c>
      <c r="G24" s="25" t="s">
        <v>1</v>
      </c>
      <c r="H24" s="451"/>
      <c r="I24" s="24"/>
      <c r="J24" s="451"/>
      <c r="K24" s="451"/>
      <c r="L24" s="451"/>
      <c r="M24" s="451"/>
      <c r="N24" s="451"/>
      <c r="O24" s="451"/>
    </row>
    <row r="25" spans="1:15" x14ac:dyDescent="0.25">
      <c r="A25" s="21"/>
      <c r="B25" s="112"/>
      <c r="C25" s="56">
        <v>0</v>
      </c>
      <c r="D25" s="56">
        <v>0</v>
      </c>
      <c r="E25" s="66">
        <f>D25-C25+1</f>
        <v>1</v>
      </c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x14ac:dyDescent="0.25">
      <c r="A26" s="21"/>
      <c r="B26" s="112"/>
      <c r="C26" s="56"/>
      <c r="D26" s="56"/>
      <c r="E26" s="66">
        <f>D26-C26+1</f>
        <v>1</v>
      </c>
      <c r="F26" s="8"/>
      <c r="G26" s="8"/>
      <c r="H26" s="9">
        <f>G26-F26+1</f>
        <v>1</v>
      </c>
      <c r="I26" s="9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ht="15.75" thickBot="1" x14ac:dyDescent="0.3">
      <c r="A27" s="21"/>
      <c r="B27" s="112"/>
      <c r="C27" s="56"/>
      <c r="D27" s="56"/>
      <c r="E27" s="66">
        <f>D27-C27+1</f>
        <v>1</v>
      </c>
      <c r="F27" s="8"/>
      <c r="G27" s="8"/>
      <c r="H27" s="9">
        <f>G27-F27+1</f>
        <v>1</v>
      </c>
      <c r="I27" s="9"/>
      <c r="J27" s="10">
        <v>0</v>
      </c>
      <c r="K27" s="10">
        <f>J27/30</f>
        <v>0</v>
      </c>
      <c r="L27" s="9"/>
      <c r="M27" s="10">
        <f>K27*L27</f>
        <v>0</v>
      </c>
      <c r="N27" s="10">
        <f>M27*0.9</f>
        <v>0</v>
      </c>
      <c r="O27" s="22"/>
    </row>
    <row r="28" spans="1:15" ht="15.75" thickBot="1" x14ac:dyDescent="0.3">
      <c r="A28" s="4"/>
      <c r="B28" s="18"/>
      <c r="C28" s="18"/>
      <c r="D28" s="18"/>
      <c r="E28" s="18"/>
      <c r="F28" s="18"/>
      <c r="G28" s="18"/>
      <c r="H28" s="18"/>
      <c r="I28" s="18"/>
      <c r="J28" s="18"/>
      <c r="K28" s="4"/>
      <c r="L28" s="4"/>
      <c r="M28" s="4"/>
      <c r="N28" s="27">
        <f>SUM(N25:N27)</f>
        <v>0</v>
      </c>
      <c r="O28" s="79"/>
    </row>
    <row r="29" spans="1:15" ht="15.75" thickBot="1" x14ac:dyDescent="0.3"/>
    <row r="30" spans="1:15" ht="15.75" thickBot="1" x14ac:dyDescent="0.3">
      <c r="K30" s="547" t="s">
        <v>26</v>
      </c>
      <c r="L30" s="548"/>
      <c r="M30" s="549"/>
      <c r="N30" s="172">
        <f>N28+N20+N12</f>
        <v>2601.7750000000001</v>
      </c>
    </row>
  </sheetData>
  <mergeCells count="42">
    <mergeCell ref="A4:O4"/>
    <mergeCell ref="A6:A7"/>
    <mergeCell ref="B6:B7"/>
    <mergeCell ref="F6:G6"/>
    <mergeCell ref="H6:H7"/>
    <mergeCell ref="I6:I7"/>
    <mergeCell ref="J6:J7"/>
    <mergeCell ref="K6:K7"/>
    <mergeCell ref="C6:D6"/>
    <mergeCell ref="E6:E7"/>
    <mergeCell ref="C5:M5"/>
    <mergeCell ref="A15:A16"/>
    <mergeCell ref="B15:B16"/>
    <mergeCell ref="F15:G15"/>
    <mergeCell ref="H15:H16"/>
    <mergeCell ref="C15:D15"/>
    <mergeCell ref="E15:E16"/>
    <mergeCell ref="O15:O16"/>
    <mergeCell ref="L6:L7"/>
    <mergeCell ref="M6:M7"/>
    <mergeCell ref="N6:N7"/>
    <mergeCell ref="O6:O7"/>
    <mergeCell ref="C13:M14"/>
    <mergeCell ref="J15:J16"/>
    <mergeCell ref="K15:K16"/>
    <mergeCell ref="L15:L16"/>
    <mergeCell ref="M15:M16"/>
    <mergeCell ref="N15:N16"/>
    <mergeCell ref="C21:M22"/>
    <mergeCell ref="N23:N24"/>
    <mergeCell ref="O23:O24"/>
    <mergeCell ref="K30:M30"/>
    <mergeCell ref="A23:A24"/>
    <mergeCell ref="B23:B24"/>
    <mergeCell ref="F23:G23"/>
    <mergeCell ref="H23:H24"/>
    <mergeCell ref="J23:J24"/>
    <mergeCell ref="K23:K24"/>
    <mergeCell ref="L23:L24"/>
    <mergeCell ref="M23:M24"/>
    <mergeCell ref="C23:D23"/>
    <mergeCell ref="E23:E24"/>
  </mergeCells>
  <pageMargins left="0.51181102362204722" right="0.31496062992125984" top="0.74803149606299213" bottom="0.74803149606299213" header="0.31496062992125984" footer="0.31496062992125984"/>
  <pageSetup scale="7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8"/>
  <sheetViews>
    <sheetView view="pageBreakPreview" zoomScale="120" zoomScaleNormal="100" zoomScaleSheetLayoutView="120" workbookViewId="0">
      <selection activeCell="L8" sqref="L8"/>
    </sheetView>
  </sheetViews>
  <sheetFormatPr baseColWidth="10" defaultColWidth="11.42578125" defaultRowHeight="15" x14ac:dyDescent="0.25"/>
  <cols>
    <col min="1" max="1" width="3.5703125" customWidth="1"/>
    <col min="2" max="2" width="27.42578125" style="1" customWidth="1"/>
    <col min="3" max="4" width="10.85546875" style="1" customWidth="1"/>
    <col min="5" max="5" width="5.42578125" style="1" bestFit="1" customWidth="1"/>
    <col min="6" max="7" width="10.85546875" style="1" customWidth="1"/>
    <col min="8" max="8" width="4.85546875" style="1" customWidth="1"/>
    <col min="9" max="9" width="4.5703125" style="1" customWidth="1"/>
    <col min="10" max="10" width="10.5703125" style="1" customWidth="1"/>
    <col min="11" max="11" width="10" customWidth="1"/>
    <col min="12" max="12" width="7.85546875" customWidth="1"/>
    <col min="15" max="15" width="19.140625" style="48" customWidth="1"/>
  </cols>
  <sheetData>
    <row r="1" spans="1:15" x14ac:dyDescent="0.25">
      <c r="A1" s="554" t="s">
        <v>46</v>
      </c>
      <c r="B1" s="554"/>
      <c r="N1" t="s">
        <v>77</v>
      </c>
    </row>
    <row r="2" spans="1:15" ht="15.75" x14ac:dyDescent="0.25">
      <c r="A2" s="555" t="s">
        <v>47</v>
      </c>
      <c r="B2" s="555"/>
    </row>
    <row r="3" spans="1:15" ht="33.75" customHeight="1" thickBot="1" x14ac:dyDescent="0.5">
      <c r="A3" s="550" t="s">
        <v>28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2.5" customHeight="1" thickBot="1" x14ac:dyDescent="0.35">
      <c r="A4" s="4"/>
      <c r="B4" s="4"/>
      <c r="C4" s="4"/>
      <c r="D4" s="4"/>
      <c r="E4" s="4"/>
      <c r="F4" s="551" t="s">
        <v>17</v>
      </c>
      <c r="G4" s="552"/>
      <c r="H4" s="552"/>
      <c r="I4" s="552"/>
      <c r="J4" s="552"/>
      <c r="K4" s="552"/>
      <c r="L4" s="552"/>
      <c r="M4" s="553"/>
      <c r="N4" s="4"/>
      <c r="O4" s="31"/>
    </row>
    <row r="5" spans="1:15" ht="30.75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 t="s">
        <v>7</v>
      </c>
      <c r="F5" s="494" t="s">
        <v>14</v>
      </c>
      <c r="G5" s="495"/>
      <c r="H5" s="464" t="s">
        <v>7</v>
      </c>
      <c r="I5" s="450"/>
      <c r="J5" s="464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5" t="s">
        <v>1</v>
      </c>
      <c r="H6" s="465"/>
      <c r="I6" s="451"/>
      <c r="J6" s="465"/>
      <c r="K6" s="465"/>
      <c r="L6" s="465"/>
      <c r="M6" s="465"/>
      <c r="N6" s="499"/>
      <c r="O6" s="483"/>
    </row>
    <row r="7" spans="1:15" x14ac:dyDescent="0.25">
      <c r="A7" s="6"/>
      <c r="B7" s="7"/>
      <c r="C7" s="56">
        <v>0</v>
      </c>
      <c r="D7" s="56">
        <v>0</v>
      </c>
      <c r="E7" s="66">
        <f t="shared" ref="E7" si="0">D7-C7+1</f>
        <v>1</v>
      </c>
      <c r="F7" s="8">
        <v>0</v>
      </c>
      <c r="G7" s="8">
        <v>0</v>
      </c>
      <c r="H7" s="9">
        <f t="shared" ref="H7" si="1">G7-F7+1</f>
        <v>1</v>
      </c>
      <c r="I7" s="9">
        <f t="shared" ref="I7" si="2">H7-3</f>
        <v>-2</v>
      </c>
      <c r="J7" s="10"/>
      <c r="K7" s="10">
        <f t="shared" ref="K7" si="3">J7/30</f>
        <v>0</v>
      </c>
      <c r="L7" s="9"/>
      <c r="M7" s="10">
        <f t="shared" ref="M7" si="4">K7*L7</f>
        <v>0</v>
      </c>
      <c r="N7" s="10">
        <f t="shared" ref="N7" si="5">M7*0.75</f>
        <v>0</v>
      </c>
      <c r="O7" s="11"/>
    </row>
    <row r="8" spans="1:15" ht="15.75" customHeight="1" x14ac:dyDescent="0.25">
      <c r="A8" s="6">
        <v>1</v>
      </c>
      <c r="B8" s="113" t="s">
        <v>84</v>
      </c>
      <c r="C8" s="56">
        <v>45348</v>
      </c>
      <c r="D8" s="56">
        <v>45356</v>
      </c>
      <c r="E8" s="66">
        <f>D8-C8+1</f>
        <v>9</v>
      </c>
      <c r="F8" s="13">
        <v>45352</v>
      </c>
      <c r="G8" s="13">
        <v>45356</v>
      </c>
      <c r="H8" s="9">
        <f>G8-F8+1</f>
        <v>5</v>
      </c>
      <c r="I8" s="9">
        <f>H8-3</f>
        <v>2</v>
      </c>
      <c r="J8" s="14">
        <v>13553</v>
      </c>
      <c r="K8" s="14">
        <f>J8/30</f>
        <v>451.76666666666665</v>
      </c>
      <c r="L8" s="15"/>
      <c r="M8" s="14">
        <f>K8*L8</f>
        <v>0</v>
      </c>
      <c r="N8" s="14">
        <f>M8*0.75</f>
        <v>0</v>
      </c>
      <c r="O8" s="17"/>
    </row>
    <row r="9" spans="1:15" ht="16.5" customHeight="1" thickBot="1" x14ac:dyDescent="0.3">
      <c r="A9" s="6"/>
      <c r="B9" s="222"/>
      <c r="C9" s="56"/>
      <c r="D9" s="56"/>
      <c r="E9" s="66">
        <f t="shared" ref="E9" si="6">D9-C9+1</f>
        <v>1</v>
      </c>
      <c r="F9" s="56"/>
      <c r="G9" s="56"/>
      <c r="H9" s="9">
        <f t="shared" ref="H9" si="7">G9-F9+1</f>
        <v>1</v>
      </c>
      <c r="I9" s="9">
        <f t="shared" ref="I9" si="8">H9-3</f>
        <v>-2</v>
      </c>
      <c r="J9" s="14"/>
      <c r="K9" s="14">
        <f t="shared" ref="K9" si="9">J9/30</f>
        <v>0</v>
      </c>
      <c r="L9" s="15"/>
      <c r="M9" s="14">
        <f t="shared" ref="M9" si="10">K9*L9</f>
        <v>0</v>
      </c>
      <c r="N9" s="14">
        <f t="shared" ref="N9" si="11">M9*0.75</f>
        <v>0</v>
      </c>
      <c r="O9" s="16"/>
    </row>
    <row r="10" spans="1:15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0</v>
      </c>
      <c r="O10" s="31"/>
    </row>
    <row r="11" spans="1:15" x14ac:dyDescent="0.25">
      <c r="A11" s="4"/>
      <c r="B11" s="4"/>
      <c r="C11" s="4"/>
      <c r="D11" s="4"/>
      <c r="E11" s="4"/>
      <c r="F11" s="541" t="s">
        <v>13</v>
      </c>
      <c r="G11" s="542"/>
      <c r="H11" s="542"/>
      <c r="I11" s="542"/>
      <c r="J11" s="542"/>
      <c r="K11" s="542"/>
      <c r="L11" s="542"/>
      <c r="M11" s="543"/>
      <c r="N11" s="4"/>
      <c r="O11" s="31"/>
    </row>
    <row r="12" spans="1:15" ht="15.75" thickBot="1" x14ac:dyDescent="0.3">
      <c r="A12" s="4"/>
      <c r="B12" s="4"/>
      <c r="C12" s="4"/>
      <c r="D12" s="4"/>
      <c r="E12" s="4"/>
      <c r="F12" s="544"/>
      <c r="G12" s="545"/>
      <c r="H12" s="545"/>
      <c r="I12" s="545"/>
      <c r="J12" s="545"/>
      <c r="K12" s="545"/>
      <c r="L12" s="545"/>
      <c r="M12" s="546"/>
      <c r="N12" s="4"/>
      <c r="O12" s="19"/>
    </row>
    <row r="13" spans="1:15" ht="26.25" customHeight="1" thickBot="1" x14ac:dyDescent="0.3">
      <c r="A13" s="472" t="s">
        <v>6</v>
      </c>
      <c r="B13" s="472" t="s">
        <v>8</v>
      </c>
      <c r="C13" s="458" t="s">
        <v>37</v>
      </c>
      <c r="D13" s="459"/>
      <c r="E13" s="537" t="s">
        <v>7</v>
      </c>
      <c r="F13" s="460" t="s">
        <v>14</v>
      </c>
      <c r="G13" s="461"/>
      <c r="H13" s="450" t="s">
        <v>7</v>
      </c>
      <c r="I13" s="20"/>
      <c r="J13" s="450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472" t="s">
        <v>11</v>
      </c>
    </row>
    <row r="14" spans="1:15" ht="15.75" thickBot="1" x14ac:dyDescent="0.3">
      <c r="A14" s="473"/>
      <c r="B14" s="473"/>
      <c r="C14" s="54" t="s">
        <v>38</v>
      </c>
      <c r="D14" s="54" t="s">
        <v>39</v>
      </c>
      <c r="E14" s="538"/>
      <c r="F14" s="5" t="s">
        <v>0</v>
      </c>
      <c r="G14" s="25" t="s">
        <v>1</v>
      </c>
      <c r="H14" s="451"/>
      <c r="I14" s="24"/>
      <c r="J14" s="451"/>
      <c r="K14" s="451"/>
      <c r="L14" s="451"/>
      <c r="M14" s="451"/>
      <c r="N14" s="451"/>
      <c r="O14" s="473"/>
    </row>
    <row r="15" spans="1:15" x14ac:dyDescent="0.25">
      <c r="A15" s="21"/>
      <c r="B15" s="7"/>
      <c r="C15" s="56"/>
      <c r="D15" s="56"/>
      <c r="E15" s="66">
        <f>D15-C15+1</f>
        <v>1</v>
      </c>
      <c r="F15" s="8"/>
      <c r="G15" s="8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51"/>
    </row>
    <row r="16" spans="1:15" x14ac:dyDescent="0.25">
      <c r="A16" s="21">
        <v>1</v>
      </c>
      <c r="B16" s="6"/>
      <c r="C16" s="56"/>
      <c r="D16" s="56"/>
      <c r="E16" s="66">
        <f>D16-C16+1</f>
        <v>1</v>
      </c>
      <c r="F16" s="8"/>
      <c r="G16" s="8"/>
      <c r="H16" s="9">
        <f>G16-F16+1</f>
        <v>1</v>
      </c>
      <c r="I16" s="9"/>
      <c r="J16" s="10"/>
      <c r="K16" s="10">
        <f>J16/30</f>
        <v>0</v>
      </c>
      <c r="L16" s="9"/>
      <c r="M16" s="10">
        <f>K16*L16</f>
        <v>0</v>
      </c>
      <c r="N16" s="10">
        <f>M16*0.9</f>
        <v>0</v>
      </c>
      <c r="O16" s="30"/>
    </row>
    <row r="17" spans="1:15" ht="15.75" thickBot="1" x14ac:dyDescent="0.3">
      <c r="A17" s="21"/>
      <c r="B17" s="7"/>
      <c r="C17" s="56"/>
      <c r="D17" s="56"/>
      <c r="E17" s="66">
        <f>D17-C17+1</f>
        <v>1</v>
      </c>
      <c r="F17" s="8"/>
      <c r="G17" s="8">
        <v>0</v>
      </c>
      <c r="H17" s="9">
        <f>G17-F17+1</f>
        <v>1</v>
      </c>
      <c r="I17" s="9"/>
      <c r="J17" s="10">
        <v>0</v>
      </c>
      <c r="K17" s="10">
        <f>J17/30</f>
        <v>0</v>
      </c>
      <c r="L17" s="9">
        <v>0</v>
      </c>
      <c r="M17" s="10">
        <f>K17*L17</f>
        <v>0</v>
      </c>
      <c r="N17" s="10">
        <f>M17*0.9</f>
        <v>0</v>
      </c>
      <c r="O17" s="30"/>
    </row>
    <row r="18" spans="1:15" ht="15.75" thickBot="1" x14ac:dyDescent="0.3">
      <c r="A18" s="4"/>
      <c r="B18" s="18"/>
      <c r="C18" s="18"/>
      <c r="D18" s="18"/>
      <c r="E18" s="18"/>
      <c r="F18" s="18"/>
      <c r="G18" s="18"/>
      <c r="H18" s="18"/>
      <c r="I18" s="18"/>
      <c r="J18" s="18"/>
      <c r="K18" s="4"/>
      <c r="L18" s="4"/>
      <c r="M18" s="4"/>
      <c r="N18" s="27">
        <f>SUM(N15:N17)</f>
        <v>0</v>
      </c>
      <c r="O18" s="31"/>
    </row>
    <row r="19" spans="1:15" x14ac:dyDescent="0.25">
      <c r="A19" s="4"/>
      <c r="B19" s="4"/>
      <c r="C19" s="4"/>
      <c r="D19" s="4"/>
      <c r="E19" s="4"/>
      <c r="F19" s="541" t="s">
        <v>25</v>
      </c>
      <c r="G19" s="542"/>
      <c r="H19" s="542"/>
      <c r="I19" s="542"/>
      <c r="J19" s="542"/>
      <c r="K19" s="542"/>
      <c r="L19" s="542"/>
      <c r="M19" s="543"/>
      <c r="N19" s="4"/>
      <c r="O19" s="31"/>
    </row>
    <row r="20" spans="1:15" ht="15.75" thickBot="1" x14ac:dyDescent="0.3">
      <c r="A20" s="4"/>
      <c r="B20" s="4"/>
      <c r="C20" s="4"/>
      <c r="D20" s="4"/>
      <c r="E20" s="4"/>
      <c r="F20" s="544"/>
      <c r="G20" s="545"/>
      <c r="H20" s="545"/>
      <c r="I20" s="545"/>
      <c r="J20" s="545"/>
      <c r="K20" s="545"/>
      <c r="L20" s="545"/>
      <c r="M20" s="546"/>
      <c r="N20" s="4"/>
      <c r="O20" s="19"/>
    </row>
    <row r="21" spans="1:15" ht="26.25" customHeight="1" thickBot="1" x14ac:dyDescent="0.3">
      <c r="A21" s="472" t="s">
        <v>6</v>
      </c>
      <c r="B21" s="472" t="s">
        <v>8</v>
      </c>
      <c r="C21" s="458" t="s">
        <v>37</v>
      </c>
      <c r="D21" s="459"/>
      <c r="E21" s="537" t="s">
        <v>7</v>
      </c>
      <c r="F21" s="460" t="s">
        <v>14</v>
      </c>
      <c r="G21" s="461"/>
      <c r="H21" s="450" t="s">
        <v>7</v>
      </c>
      <c r="I21" s="20"/>
      <c r="J21" s="450" t="s">
        <v>2</v>
      </c>
      <c r="K21" s="450" t="s">
        <v>3</v>
      </c>
      <c r="L21" s="450" t="s">
        <v>4</v>
      </c>
      <c r="M21" s="450" t="s">
        <v>5</v>
      </c>
      <c r="N21" s="450" t="s">
        <v>10</v>
      </c>
      <c r="O21" s="472" t="s">
        <v>11</v>
      </c>
    </row>
    <row r="22" spans="1:15" ht="15.75" thickBot="1" x14ac:dyDescent="0.3">
      <c r="A22" s="473"/>
      <c r="B22" s="473"/>
      <c r="C22" s="54" t="s">
        <v>38</v>
      </c>
      <c r="D22" s="54" t="s">
        <v>39</v>
      </c>
      <c r="E22" s="538"/>
      <c r="F22" s="5" t="s">
        <v>0</v>
      </c>
      <c r="G22" s="25" t="s">
        <v>1</v>
      </c>
      <c r="H22" s="451"/>
      <c r="I22" s="24"/>
      <c r="J22" s="451"/>
      <c r="K22" s="451"/>
      <c r="L22" s="451"/>
      <c r="M22" s="451"/>
      <c r="N22" s="451"/>
      <c r="O22" s="473"/>
    </row>
    <row r="23" spans="1:15" x14ac:dyDescent="0.25">
      <c r="A23" s="21"/>
      <c r="B23" s="7"/>
      <c r="C23" s="56">
        <v>0</v>
      </c>
      <c r="D23" s="56">
        <v>0</v>
      </c>
      <c r="E23" s="66">
        <f>D23-C23+1</f>
        <v>1</v>
      </c>
      <c r="F23" s="8">
        <v>36892</v>
      </c>
      <c r="G23" s="8">
        <v>36892</v>
      </c>
      <c r="H23" s="9">
        <f>G23-F23+1</f>
        <v>1</v>
      </c>
      <c r="I23" s="9"/>
      <c r="J23" s="10">
        <v>0</v>
      </c>
      <c r="K23" s="10">
        <f>J23/30</f>
        <v>0</v>
      </c>
      <c r="L23" s="9">
        <v>0</v>
      </c>
      <c r="M23" s="10">
        <f>K23*L23</f>
        <v>0</v>
      </c>
      <c r="N23" s="10">
        <f>M23*0.9</f>
        <v>0</v>
      </c>
      <c r="O23" s="30"/>
    </row>
    <row r="24" spans="1:15" x14ac:dyDescent="0.25">
      <c r="A24" s="21"/>
      <c r="B24" s="7"/>
      <c r="C24" s="56"/>
      <c r="D24" s="56"/>
      <c r="E24" s="66">
        <f>D24-C24+1</f>
        <v>1</v>
      </c>
      <c r="F24" s="8"/>
      <c r="G24" s="8"/>
      <c r="H24" s="9">
        <f>G24-F24+1</f>
        <v>1</v>
      </c>
      <c r="I24" s="9"/>
      <c r="J24" s="10">
        <v>0</v>
      </c>
      <c r="K24" s="10">
        <f>J24/30</f>
        <v>0</v>
      </c>
      <c r="L24" s="9">
        <v>0</v>
      </c>
      <c r="M24" s="10">
        <f>K24*L24</f>
        <v>0</v>
      </c>
      <c r="N24" s="10">
        <f>M24*0.9</f>
        <v>0</v>
      </c>
      <c r="O24" s="30"/>
    </row>
    <row r="25" spans="1:15" ht="15.75" thickBot="1" x14ac:dyDescent="0.3">
      <c r="A25" s="21"/>
      <c r="B25" s="7"/>
      <c r="C25" s="56"/>
      <c r="D25" s="56"/>
      <c r="E25" s="66">
        <f>D25-C25+1</f>
        <v>1</v>
      </c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>
        <v>0</v>
      </c>
      <c r="M25" s="10">
        <f>K25*L25</f>
        <v>0</v>
      </c>
      <c r="N25" s="10">
        <f>M25*0.9</f>
        <v>0</v>
      </c>
      <c r="O25" s="30"/>
    </row>
    <row r="26" spans="1:15" ht="15.75" thickBot="1" x14ac:dyDescent="0.3">
      <c r="A26" s="4"/>
      <c r="B26" s="18"/>
      <c r="C26" s="18"/>
      <c r="D26" s="18"/>
      <c r="E26" s="18"/>
      <c r="F26" s="18"/>
      <c r="G26" s="18"/>
      <c r="H26" s="18"/>
      <c r="I26" s="18"/>
      <c r="J26" s="18"/>
      <c r="K26" s="4"/>
      <c r="L26" s="4"/>
      <c r="M26" s="4"/>
      <c r="N26" s="27">
        <f>SUM(N23:N25)</f>
        <v>0</v>
      </c>
      <c r="O26" s="31"/>
    </row>
    <row r="27" spans="1:15" ht="15.75" thickBot="1" x14ac:dyDescent="0.3"/>
    <row r="28" spans="1:15" ht="15.75" thickBot="1" x14ac:dyDescent="0.3">
      <c r="K28" s="547" t="s">
        <v>26</v>
      </c>
      <c r="L28" s="548"/>
      <c r="M28" s="549"/>
      <c r="N28" s="172">
        <f>N26+N18+N10</f>
        <v>0</v>
      </c>
    </row>
  </sheetData>
  <mergeCells count="44">
    <mergeCell ref="A1:B1"/>
    <mergeCell ref="A2:B2"/>
    <mergeCell ref="N5:N6"/>
    <mergeCell ref="O5:O6"/>
    <mergeCell ref="A3:O3"/>
    <mergeCell ref="F4:M4"/>
    <mergeCell ref="I5:I6"/>
    <mergeCell ref="A5:A6"/>
    <mergeCell ref="B5:B6"/>
    <mergeCell ref="F5:G5"/>
    <mergeCell ref="H5:H6"/>
    <mergeCell ref="J5:J6"/>
    <mergeCell ref="K5:K6"/>
    <mergeCell ref="L5:L6"/>
    <mergeCell ref="M5:M6"/>
    <mergeCell ref="C5:D5"/>
    <mergeCell ref="E5:E6"/>
    <mergeCell ref="F11:M12"/>
    <mergeCell ref="A13:A14"/>
    <mergeCell ref="B13:B14"/>
    <mergeCell ref="F13:G13"/>
    <mergeCell ref="H13:H14"/>
    <mergeCell ref="J13:J14"/>
    <mergeCell ref="K13:K14"/>
    <mergeCell ref="L13:L14"/>
    <mergeCell ref="M13:M14"/>
    <mergeCell ref="E13:E14"/>
    <mergeCell ref="C13:D13"/>
    <mergeCell ref="A21:A22"/>
    <mergeCell ref="B21:B22"/>
    <mergeCell ref="F21:G21"/>
    <mergeCell ref="H21:H22"/>
    <mergeCell ref="J21:J22"/>
    <mergeCell ref="C21:D21"/>
    <mergeCell ref="E21:E22"/>
    <mergeCell ref="K28:M28"/>
    <mergeCell ref="N13:N14"/>
    <mergeCell ref="O13:O14"/>
    <mergeCell ref="F19:M20"/>
    <mergeCell ref="K21:K22"/>
    <mergeCell ref="L21:L22"/>
    <mergeCell ref="M21:M22"/>
    <mergeCell ref="N21:N22"/>
    <mergeCell ref="O21:O22"/>
  </mergeCells>
  <pageMargins left="0.70866141732283472" right="0.31496062992125984" top="0.74803149606299213" bottom="0.74803149606299213" header="0.31496062992125984" footer="0.31496062992125984"/>
  <pageSetup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view="pageBreakPreview" topLeftCell="A20" zoomScaleNormal="130" zoomScaleSheetLayoutView="100" workbookViewId="0">
      <selection activeCell="A21" sqref="A21"/>
    </sheetView>
  </sheetViews>
  <sheetFormatPr baseColWidth="10" defaultColWidth="11.42578125" defaultRowHeight="15" x14ac:dyDescent="0.25"/>
  <cols>
    <col min="1" max="1" width="3.5703125" style="48" customWidth="1"/>
    <col min="2" max="2" width="34.85546875" style="90" customWidth="1"/>
    <col min="3" max="4" width="11" style="389" bestFit="1" customWidth="1"/>
    <col min="5" max="5" width="5.42578125" style="389" customWidth="1"/>
    <col min="6" max="7" width="10.5703125" style="389" bestFit="1" customWidth="1"/>
    <col min="8" max="8" width="4.85546875" style="389" customWidth="1"/>
    <col min="9" max="9" width="4.5703125" style="389" customWidth="1"/>
    <col min="10" max="10" width="13.85546875" style="389" customWidth="1"/>
    <col min="11" max="11" width="8.7109375" style="48" customWidth="1"/>
    <col min="12" max="12" width="7.5703125" style="48" customWidth="1"/>
    <col min="13" max="13" width="11.42578125" style="48"/>
    <col min="14" max="14" width="15.5703125" style="48" bestFit="1" customWidth="1"/>
    <col min="15" max="15" width="20.28515625" style="48" customWidth="1"/>
    <col min="16" max="16" width="1.7109375" style="48" customWidth="1"/>
    <col min="17" max="16384" width="11.42578125" style="48"/>
  </cols>
  <sheetData>
    <row r="1" spans="1:15" x14ac:dyDescent="0.25">
      <c r="A1" s="502" t="s">
        <v>46</v>
      </c>
      <c r="B1" s="502"/>
      <c r="N1" s="48" t="s">
        <v>66</v>
      </c>
      <c r="O1" s="48" t="s">
        <v>75</v>
      </c>
    </row>
    <row r="2" spans="1:15" x14ac:dyDescent="0.25">
      <c r="A2" s="556" t="s">
        <v>47</v>
      </c>
      <c r="B2" s="556"/>
    </row>
    <row r="3" spans="1:15" ht="28.5" customHeight="1" thickBot="1" x14ac:dyDescent="0.3">
      <c r="A3" s="561" t="s">
        <v>31</v>
      </c>
      <c r="B3" s="561"/>
      <c r="C3" s="561"/>
      <c r="D3" s="561"/>
      <c r="E3" s="561"/>
      <c r="F3" s="561"/>
      <c r="G3" s="561"/>
      <c r="H3" s="561"/>
      <c r="I3" s="561"/>
      <c r="J3" s="561"/>
      <c r="K3" s="561"/>
      <c r="L3" s="561"/>
      <c r="M3" s="561"/>
      <c r="N3" s="561"/>
      <c r="O3" s="561"/>
    </row>
    <row r="4" spans="1:15" ht="23.25" thickBot="1" x14ac:dyDescent="0.3">
      <c r="A4" s="57"/>
      <c r="B4" s="325"/>
      <c r="C4" s="566" t="s">
        <v>17</v>
      </c>
      <c r="D4" s="567"/>
      <c r="E4" s="567"/>
      <c r="F4" s="567"/>
      <c r="G4" s="567"/>
      <c r="H4" s="567"/>
      <c r="I4" s="567"/>
      <c r="J4" s="567"/>
      <c r="K4" s="567"/>
      <c r="L4" s="567"/>
      <c r="M4" s="568"/>
      <c r="N4" s="57"/>
      <c r="O4" s="57"/>
    </row>
    <row r="5" spans="1:15" ht="21" thickBot="1" x14ac:dyDescent="0.3">
      <c r="A5" s="562" t="s">
        <v>6</v>
      </c>
      <c r="B5" s="462" t="s">
        <v>8</v>
      </c>
      <c r="C5" s="458" t="s">
        <v>37</v>
      </c>
      <c r="D5" s="459"/>
      <c r="E5" s="64"/>
      <c r="F5" s="564" t="s">
        <v>40</v>
      </c>
      <c r="G5" s="565"/>
      <c r="H5" s="496" t="s">
        <v>7</v>
      </c>
      <c r="I5" s="462"/>
      <c r="J5" s="496" t="s">
        <v>2</v>
      </c>
      <c r="K5" s="496" t="s">
        <v>3</v>
      </c>
      <c r="L5" s="496" t="s">
        <v>4</v>
      </c>
      <c r="M5" s="496" t="s">
        <v>5</v>
      </c>
      <c r="N5" s="557" t="s">
        <v>9</v>
      </c>
      <c r="O5" s="559" t="s">
        <v>11</v>
      </c>
    </row>
    <row r="6" spans="1:15" ht="15.75" thickBot="1" x14ac:dyDescent="0.3">
      <c r="A6" s="563"/>
      <c r="B6" s="463"/>
      <c r="C6" s="54" t="s">
        <v>38</v>
      </c>
      <c r="D6" s="54" t="s">
        <v>39</v>
      </c>
      <c r="E6" s="65"/>
      <c r="F6" s="40" t="s">
        <v>0</v>
      </c>
      <c r="G6" s="53" t="s">
        <v>1</v>
      </c>
      <c r="H6" s="497"/>
      <c r="I6" s="463"/>
      <c r="J6" s="497"/>
      <c r="K6" s="497"/>
      <c r="L6" s="497"/>
      <c r="M6" s="497"/>
      <c r="N6" s="558"/>
      <c r="O6" s="560"/>
    </row>
    <row r="7" spans="1:15" x14ac:dyDescent="0.25">
      <c r="A7" s="58"/>
      <c r="B7" s="110"/>
      <c r="C7" s="56">
        <v>0</v>
      </c>
      <c r="D7" s="56">
        <v>0</v>
      </c>
      <c r="E7" s="55"/>
      <c r="F7" s="37">
        <v>0</v>
      </c>
      <c r="G7" s="37">
        <v>0</v>
      </c>
      <c r="H7" s="38">
        <f t="shared" ref="H7:H10" si="0">G7-F7+1</f>
        <v>1</v>
      </c>
      <c r="I7" s="38">
        <f t="shared" ref="I7:I10" si="1">H7-3</f>
        <v>-2</v>
      </c>
      <c r="J7" s="32">
        <v>0</v>
      </c>
      <c r="K7" s="32">
        <f t="shared" ref="K7:K10" si="2">J7/30</f>
        <v>0</v>
      </c>
      <c r="L7" s="38"/>
      <c r="M7" s="32">
        <f t="shared" ref="M7:M10" si="3">K7*L7</f>
        <v>0</v>
      </c>
      <c r="N7" s="32">
        <f t="shared" ref="N7:N10" si="4">M7*0.75</f>
        <v>0</v>
      </c>
      <c r="O7" s="119"/>
    </row>
    <row r="8" spans="1:15" s="97" customFormat="1" ht="15.75" customHeight="1" x14ac:dyDescent="0.25">
      <c r="A8" s="154">
        <v>1</v>
      </c>
      <c r="B8" s="421" t="s">
        <v>146</v>
      </c>
      <c r="C8" s="422">
        <v>45680</v>
      </c>
      <c r="D8" s="422">
        <v>45688</v>
      </c>
      <c r="E8" s="66">
        <f t="shared" ref="E8:E13" si="5">D8-C8+1</f>
        <v>9</v>
      </c>
      <c r="F8" s="422">
        <v>45680</v>
      </c>
      <c r="G8" s="422">
        <v>45687</v>
      </c>
      <c r="H8" s="423">
        <f t="shared" ref="H8" si="6">G8-F8+1</f>
        <v>8</v>
      </c>
      <c r="I8" s="424">
        <f t="shared" ref="I8" si="7">H8-3</f>
        <v>5</v>
      </c>
      <c r="J8" s="355">
        <v>14327</v>
      </c>
      <c r="K8" s="425">
        <f t="shared" ref="K8" si="8">J8/30</f>
        <v>477.56666666666666</v>
      </c>
      <c r="L8" s="423">
        <f>+I8</f>
        <v>5</v>
      </c>
      <c r="M8" s="425">
        <f t="shared" ref="M8" si="9">K8*L8</f>
        <v>2387.8333333333335</v>
      </c>
      <c r="N8" s="426">
        <f t="shared" ref="N8" si="10">M8*0.75</f>
        <v>1790.875</v>
      </c>
      <c r="O8" s="155"/>
    </row>
    <row r="9" spans="1:15" s="97" customFormat="1" ht="15.75" customHeight="1" x14ac:dyDescent="0.25">
      <c r="A9" s="154">
        <v>2</v>
      </c>
      <c r="B9" s="421" t="s">
        <v>107</v>
      </c>
      <c r="C9" s="422">
        <v>45565</v>
      </c>
      <c r="D9" s="422">
        <v>45691</v>
      </c>
      <c r="E9" s="66">
        <f t="shared" si="5"/>
        <v>127</v>
      </c>
      <c r="F9" s="422">
        <v>45658</v>
      </c>
      <c r="G9" s="422">
        <v>45687</v>
      </c>
      <c r="H9" s="423">
        <f t="shared" si="0"/>
        <v>30</v>
      </c>
      <c r="I9" s="424">
        <f t="shared" si="1"/>
        <v>27</v>
      </c>
      <c r="J9" s="355">
        <v>10268</v>
      </c>
      <c r="K9" s="425">
        <f t="shared" si="2"/>
        <v>342.26666666666665</v>
      </c>
      <c r="L9" s="423">
        <v>30</v>
      </c>
      <c r="M9" s="425">
        <f t="shared" si="3"/>
        <v>10268</v>
      </c>
      <c r="N9" s="426">
        <f t="shared" si="4"/>
        <v>7701</v>
      </c>
      <c r="O9" s="155"/>
    </row>
    <row r="10" spans="1:15" s="97" customFormat="1" ht="15.75" customHeight="1" x14ac:dyDescent="0.25">
      <c r="A10" s="154">
        <v>3</v>
      </c>
      <c r="B10" s="421" t="s">
        <v>147</v>
      </c>
      <c r="C10" s="422">
        <v>45667</v>
      </c>
      <c r="D10" s="422">
        <v>45681</v>
      </c>
      <c r="E10" s="66">
        <f t="shared" si="5"/>
        <v>15</v>
      </c>
      <c r="F10" s="422">
        <v>45668</v>
      </c>
      <c r="G10" s="422">
        <v>45681</v>
      </c>
      <c r="H10" s="423">
        <f t="shared" si="0"/>
        <v>14</v>
      </c>
      <c r="I10" s="424">
        <f t="shared" si="1"/>
        <v>11</v>
      </c>
      <c r="J10" s="355">
        <v>12329</v>
      </c>
      <c r="K10" s="425">
        <f t="shared" si="2"/>
        <v>410.96666666666664</v>
      </c>
      <c r="L10" s="423">
        <f t="shared" ref="L10:L12" si="11">+I10</f>
        <v>11</v>
      </c>
      <c r="M10" s="425">
        <f t="shared" si="3"/>
        <v>4520.6333333333332</v>
      </c>
      <c r="N10" s="426">
        <f t="shared" si="4"/>
        <v>3390.4749999999999</v>
      </c>
      <c r="O10" s="155" t="s">
        <v>150</v>
      </c>
    </row>
    <row r="11" spans="1:15" s="97" customFormat="1" ht="15.75" customHeight="1" x14ac:dyDescent="0.25">
      <c r="A11" s="154">
        <v>4</v>
      </c>
      <c r="B11" s="421" t="s">
        <v>147</v>
      </c>
      <c r="C11" s="422">
        <v>45685</v>
      </c>
      <c r="D11" s="422">
        <v>45688</v>
      </c>
      <c r="E11" s="66">
        <f t="shared" si="5"/>
        <v>4</v>
      </c>
      <c r="F11" s="422">
        <v>45685</v>
      </c>
      <c r="G11" s="422">
        <v>45687</v>
      </c>
      <c r="H11" s="423">
        <f t="shared" ref="H11" si="12">G11-F11+1</f>
        <v>3</v>
      </c>
      <c r="I11" s="424">
        <f t="shared" ref="I11" si="13">H11-3</f>
        <v>0</v>
      </c>
      <c r="J11" s="355">
        <v>12329</v>
      </c>
      <c r="K11" s="425">
        <f t="shared" ref="K11" si="14">J11/30</f>
        <v>410.96666666666664</v>
      </c>
      <c r="L11" s="423">
        <f t="shared" si="11"/>
        <v>0</v>
      </c>
      <c r="M11" s="425">
        <f t="shared" ref="M11" si="15">K11*L11</f>
        <v>0</v>
      </c>
      <c r="N11" s="426">
        <f t="shared" ref="N11" si="16">M11*0.75</f>
        <v>0</v>
      </c>
      <c r="O11" s="155"/>
    </row>
    <row r="12" spans="1:15" s="97" customFormat="1" ht="15.75" customHeight="1" x14ac:dyDescent="0.25">
      <c r="A12" s="154">
        <v>5</v>
      </c>
      <c r="B12" s="421" t="s">
        <v>148</v>
      </c>
      <c r="C12" s="422">
        <v>45665</v>
      </c>
      <c r="D12" s="422">
        <v>45692</v>
      </c>
      <c r="E12" s="66">
        <f t="shared" si="5"/>
        <v>28</v>
      </c>
      <c r="F12" s="422">
        <v>45665</v>
      </c>
      <c r="G12" s="422">
        <v>45687</v>
      </c>
      <c r="H12" s="423">
        <f t="shared" ref="H12" si="17">G12-F12+1</f>
        <v>23</v>
      </c>
      <c r="I12" s="424">
        <f t="shared" ref="I12" si="18">H12-3</f>
        <v>20</v>
      </c>
      <c r="J12" s="355">
        <v>14061</v>
      </c>
      <c r="K12" s="425">
        <f t="shared" ref="K12" si="19">J12/30</f>
        <v>468.7</v>
      </c>
      <c r="L12" s="423">
        <f t="shared" si="11"/>
        <v>20</v>
      </c>
      <c r="M12" s="425">
        <f t="shared" ref="M12" si="20">K12*L12</f>
        <v>9374</v>
      </c>
      <c r="N12" s="426">
        <f t="shared" ref="N12" si="21">M12*0.75</f>
        <v>7030.5</v>
      </c>
      <c r="O12" s="155"/>
    </row>
    <row r="13" spans="1:15" s="97" customFormat="1" ht="15.75" customHeight="1" x14ac:dyDescent="0.25">
      <c r="A13" s="154">
        <v>6</v>
      </c>
      <c r="B13" s="427" t="s">
        <v>124</v>
      </c>
      <c r="C13" s="428">
        <v>45657</v>
      </c>
      <c r="D13" s="428">
        <v>45691</v>
      </c>
      <c r="E13" s="429">
        <f t="shared" si="5"/>
        <v>35</v>
      </c>
      <c r="F13" s="430">
        <v>45658</v>
      </c>
      <c r="G13" s="430">
        <v>45687</v>
      </c>
      <c r="H13" s="431">
        <f t="shared" ref="H13" si="22">G13-F13+1</f>
        <v>30</v>
      </c>
      <c r="I13" s="431">
        <f t="shared" ref="I13" si="23">H13-3</f>
        <v>27</v>
      </c>
      <c r="J13" s="432">
        <v>7078</v>
      </c>
      <c r="K13" s="433">
        <f t="shared" ref="K13" si="24">J13/30</f>
        <v>235.93333333333334</v>
      </c>
      <c r="L13" s="431">
        <f>+I13</f>
        <v>27</v>
      </c>
      <c r="M13" s="433">
        <f t="shared" ref="M13" si="25">K13*L13</f>
        <v>6370.2</v>
      </c>
      <c r="N13" s="434">
        <f t="shared" ref="N13" si="26">+M13*0.75</f>
        <v>4777.6499999999996</v>
      </c>
      <c r="O13" s="184"/>
    </row>
    <row r="14" spans="1:15" ht="15.75" customHeight="1" thickBot="1" x14ac:dyDescent="0.3">
      <c r="A14" s="57"/>
      <c r="B14" s="325"/>
      <c r="C14" s="33"/>
      <c r="D14" s="33"/>
      <c r="E14" s="33"/>
      <c r="F14" s="33"/>
      <c r="G14" s="33"/>
      <c r="H14" s="33"/>
      <c r="I14" s="33"/>
      <c r="J14" s="33"/>
      <c r="K14" s="57"/>
      <c r="L14" s="57"/>
      <c r="M14" s="57"/>
      <c r="N14" s="181">
        <f>SUM(N8:N13)</f>
        <v>24690.5</v>
      </c>
      <c r="O14" s="57"/>
    </row>
    <row r="15" spans="1:15" ht="15.75" customHeight="1" x14ac:dyDescent="0.25">
      <c r="A15" s="57"/>
      <c r="B15" s="325"/>
      <c r="C15" s="57"/>
      <c r="D15" s="57"/>
      <c r="E15" s="57"/>
      <c r="F15" s="569" t="s">
        <v>13</v>
      </c>
      <c r="G15" s="570"/>
      <c r="H15" s="570"/>
      <c r="I15" s="570"/>
      <c r="J15" s="570"/>
      <c r="K15" s="570"/>
      <c r="L15" s="570"/>
      <c r="M15" s="571"/>
      <c r="N15" s="57"/>
      <c r="O15" s="57"/>
    </row>
    <row r="16" spans="1:15" ht="15.75" customHeight="1" thickBot="1" x14ac:dyDescent="0.3">
      <c r="A16" s="57"/>
      <c r="B16" s="325"/>
      <c r="C16" s="57"/>
      <c r="D16" s="57"/>
      <c r="E16" s="57"/>
      <c r="F16" s="572"/>
      <c r="G16" s="573"/>
      <c r="H16" s="573"/>
      <c r="I16" s="573"/>
      <c r="J16" s="573"/>
      <c r="K16" s="573"/>
      <c r="L16" s="573"/>
      <c r="M16" s="574"/>
      <c r="N16" s="60"/>
      <c r="O16" s="42"/>
    </row>
    <row r="17" spans="1:15" ht="21" thickBot="1" x14ac:dyDescent="0.3">
      <c r="A17" s="575" t="s">
        <v>6</v>
      </c>
      <c r="B17" s="577" t="s">
        <v>8</v>
      </c>
      <c r="C17" s="458" t="s">
        <v>37</v>
      </c>
      <c r="D17" s="459"/>
      <c r="E17" s="64" t="s">
        <v>7</v>
      </c>
      <c r="F17" s="564" t="s">
        <v>40</v>
      </c>
      <c r="G17" s="565"/>
      <c r="H17" s="462" t="s">
        <v>7</v>
      </c>
      <c r="I17" s="39"/>
      <c r="J17" s="462" t="s">
        <v>2</v>
      </c>
      <c r="K17" s="462" t="s">
        <v>3</v>
      </c>
      <c r="L17" s="462" t="s">
        <v>4</v>
      </c>
      <c r="M17" s="462" t="s">
        <v>5</v>
      </c>
      <c r="N17" s="462" t="s">
        <v>10</v>
      </c>
      <c r="O17" s="575" t="s">
        <v>11</v>
      </c>
    </row>
    <row r="18" spans="1:15" ht="15.75" thickBot="1" x14ac:dyDescent="0.3">
      <c r="A18" s="576"/>
      <c r="B18" s="578"/>
      <c r="C18" s="54" t="s">
        <v>38</v>
      </c>
      <c r="D18" s="54" t="s">
        <v>39</v>
      </c>
      <c r="E18" s="65"/>
      <c r="F18" s="40" t="s">
        <v>0</v>
      </c>
      <c r="G18" s="53" t="s">
        <v>1</v>
      </c>
      <c r="H18" s="463"/>
      <c r="I18" s="387"/>
      <c r="J18" s="463"/>
      <c r="K18" s="463"/>
      <c r="L18" s="463"/>
      <c r="M18" s="463"/>
      <c r="N18" s="463"/>
      <c r="O18" s="576"/>
    </row>
    <row r="19" spans="1:15" x14ac:dyDescent="0.25">
      <c r="A19" s="43"/>
      <c r="B19" s="110"/>
      <c r="C19" s="55"/>
      <c r="D19" s="55"/>
      <c r="E19" s="66">
        <f>D19-C19+1</f>
        <v>1</v>
      </c>
      <c r="F19" s="37">
        <v>0</v>
      </c>
      <c r="G19" s="37">
        <v>0</v>
      </c>
      <c r="H19" s="38">
        <f>G19-F19+1</f>
        <v>1</v>
      </c>
      <c r="I19" s="44"/>
      <c r="J19" s="32">
        <v>0</v>
      </c>
      <c r="K19" s="32">
        <f>J19/30</f>
        <v>0</v>
      </c>
      <c r="L19" s="38"/>
      <c r="M19" s="32">
        <f>K19*L19</f>
        <v>0</v>
      </c>
      <c r="N19" s="32">
        <f>M19*0.9</f>
        <v>0</v>
      </c>
      <c r="O19" s="61"/>
    </row>
    <row r="20" spans="1:15" ht="15.75" customHeight="1" x14ac:dyDescent="0.25">
      <c r="A20" s="156">
        <v>1</v>
      </c>
      <c r="B20" s="250" t="s">
        <v>149</v>
      </c>
      <c r="C20" s="310">
        <v>45672</v>
      </c>
      <c r="D20" s="310">
        <v>45716</v>
      </c>
      <c r="E20" s="66">
        <f>D20-C20+1</f>
        <v>45</v>
      </c>
      <c r="F20" s="37">
        <v>45672</v>
      </c>
      <c r="G20" s="37">
        <v>45687</v>
      </c>
      <c r="H20" s="38">
        <f>G20-F20+1</f>
        <v>16</v>
      </c>
      <c r="I20" s="38"/>
      <c r="J20" s="355">
        <v>10296</v>
      </c>
      <c r="K20" s="32">
        <f>J20/30</f>
        <v>343.2</v>
      </c>
      <c r="L20" s="38">
        <f>+H20</f>
        <v>16</v>
      </c>
      <c r="M20" s="32">
        <f>+L20*K20</f>
        <v>5491.2</v>
      </c>
      <c r="N20" s="164">
        <f>M20*0.9</f>
        <v>4942.08</v>
      </c>
      <c r="O20" s="162"/>
    </row>
    <row r="21" spans="1:15" ht="15.75" thickBot="1" x14ac:dyDescent="0.3">
      <c r="A21" s="156"/>
      <c r="B21" s="326"/>
      <c r="C21" s="312"/>
      <c r="D21" s="312"/>
      <c r="E21" s="190">
        <f>D21-C21+1</f>
        <v>1</v>
      </c>
      <c r="F21" s="191"/>
      <c r="G21" s="191"/>
      <c r="H21" s="192">
        <f>G21-F21+1</f>
        <v>1</v>
      </c>
      <c r="I21" s="192"/>
      <c r="J21" s="356"/>
      <c r="K21" s="193">
        <f>J21/30</f>
        <v>0</v>
      </c>
      <c r="L21" s="192"/>
      <c r="M21" s="193">
        <f>+L21*K21</f>
        <v>0</v>
      </c>
      <c r="N21" s="194">
        <f>M21*0.9</f>
        <v>0</v>
      </c>
      <c r="O21" s="162"/>
    </row>
    <row r="22" spans="1:15" ht="19.5" thickBot="1" x14ac:dyDescent="0.3">
      <c r="A22" s="57"/>
      <c r="B22" s="325"/>
      <c r="C22" s="33"/>
      <c r="D22" s="33"/>
      <c r="E22" s="33"/>
      <c r="F22" s="33"/>
      <c r="G22" s="33"/>
      <c r="H22" s="33"/>
      <c r="I22" s="33"/>
      <c r="J22" s="33"/>
      <c r="K22" s="57"/>
      <c r="L22" s="57"/>
      <c r="M22" s="57"/>
      <c r="N22" s="182">
        <f>SUM(N19:N21)</f>
        <v>4942.08</v>
      </c>
      <c r="O22" s="60"/>
    </row>
    <row r="23" spans="1:15" x14ac:dyDescent="0.25">
      <c r="A23" s="57"/>
      <c r="B23" s="325"/>
      <c r="C23" s="57"/>
      <c r="D23" s="57"/>
      <c r="E23" s="57"/>
      <c r="F23" s="569" t="s">
        <v>25</v>
      </c>
      <c r="G23" s="570"/>
      <c r="H23" s="570"/>
      <c r="I23" s="570"/>
      <c r="J23" s="570"/>
      <c r="K23" s="570"/>
      <c r="L23" s="570"/>
      <c r="M23" s="571"/>
      <c r="N23" s="57"/>
      <c r="O23" s="60"/>
    </row>
    <row r="24" spans="1:15" ht="15.75" thickBot="1" x14ac:dyDescent="0.3">
      <c r="A24" s="57"/>
      <c r="B24" s="325"/>
      <c r="C24" s="57"/>
      <c r="D24" s="57"/>
      <c r="E24" s="57"/>
      <c r="F24" s="572"/>
      <c r="G24" s="573"/>
      <c r="H24" s="573"/>
      <c r="I24" s="573"/>
      <c r="J24" s="573"/>
      <c r="K24" s="573"/>
      <c r="L24" s="573"/>
      <c r="M24" s="574"/>
      <c r="N24" s="60"/>
      <c r="O24" s="42"/>
    </row>
    <row r="25" spans="1:15" ht="21" thickBot="1" x14ac:dyDescent="0.3">
      <c r="A25" s="575" t="s">
        <v>6</v>
      </c>
      <c r="B25" s="577" t="s">
        <v>8</v>
      </c>
      <c r="C25" s="458" t="s">
        <v>37</v>
      </c>
      <c r="D25" s="459"/>
      <c r="E25" s="64"/>
      <c r="F25" s="564" t="s">
        <v>40</v>
      </c>
      <c r="G25" s="565"/>
      <c r="H25" s="462" t="s">
        <v>7</v>
      </c>
      <c r="I25" s="39"/>
      <c r="J25" s="462" t="s">
        <v>2</v>
      </c>
      <c r="K25" s="462" t="s">
        <v>3</v>
      </c>
      <c r="L25" s="462" t="s">
        <v>4</v>
      </c>
      <c r="M25" s="462" t="s">
        <v>5</v>
      </c>
      <c r="N25" s="462" t="s">
        <v>10</v>
      </c>
      <c r="O25" s="575" t="s">
        <v>11</v>
      </c>
    </row>
    <row r="26" spans="1:15" ht="15.75" thickBot="1" x14ac:dyDescent="0.3">
      <c r="A26" s="576"/>
      <c r="B26" s="578"/>
      <c r="C26" s="54" t="s">
        <v>38</v>
      </c>
      <c r="D26" s="54" t="s">
        <v>39</v>
      </c>
      <c r="E26" s="65"/>
      <c r="F26" s="40" t="s">
        <v>0</v>
      </c>
      <c r="G26" s="53" t="s">
        <v>1</v>
      </c>
      <c r="H26" s="463"/>
      <c r="I26" s="387"/>
      <c r="J26" s="463"/>
      <c r="K26" s="463"/>
      <c r="L26" s="463"/>
      <c r="M26" s="463"/>
      <c r="N26" s="463"/>
      <c r="O26" s="576"/>
    </row>
    <row r="27" spans="1:15" x14ac:dyDescent="0.25">
      <c r="A27" s="62"/>
      <c r="B27" s="110"/>
      <c r="C27" s="55"/>
      <c r="D27" s="55"/>
      <c r="E27" s="55"/>
      <c r="F27" s="37">
        <v>0</v>
      </c>
      <c r="G27" s="37">
        <v>0</v>
      </c>
      <c r="H27" s="38">
        <f>G27-F27+1</f>
        <v>1</v>
      </c>
      <c r="I27" s="38"/>
      <c r="J27" s="32">
        <v>0</v>
      </c>
      <c r="K27" s="32">
        <f>J27/30</f>
        <v>0</v>
      </c>
      <c r="L27" s="38"/>
      <c r="M27" s="32">
        <f>K27*L27</f>
        <v>0</v>
      </c>
      <c r="N27" s="157">
        <f>M27*0.9</f>
        <v>0</v>
      </c>
      <c r="O27" s="61"/>
    </row>
    <row r="28" spans="1:15" x14ac:dyDescent="0.25">
      <c r="A28" s="62">
        <v>1</v>
      </c>
      <c r="B28" s="327" t="s">
        <v>123</v>
      </c>
      <c r="C28" s="311">
        <v>45638</v>
      </c>
      <c r="D28" s="311">
        <v>45674</v>
      </c>
      <c r="E28" s="55"/>
      <c r="F28" s="311">
        <v>45658</v>
      </c>
      <c r="G28" s="311">
        <v>45674</v>
      </c>
      <c r="H28" s="38">
        <f>G28-F28+1</f>
        <v>17</v>
      </c>
      <c r="I28" s="38"/>
      <c r="J28" s="355">
        <v>8842</v>
      </c>
      <c r="K28" s="32">
        <f>J28/30</f>
        <v>294.73333333333335</v>
      </c>
      <c r="L28" s="38">
        <f>+H28</f>
        <v>17</v>
      </c>
      <c r="M28" s="32">
        <f>K28*L28</f>
        <v>5010.4666666666672</v>
      </c>
      <c r="N28" s="157">
        <f>M28*0.9</f>
        <v>4509.420000000001</v>
      </c>
      <c r="O28" s="315"/>
    </row>
    <row r="29" spans="1:15" ht="15" customHeight="1" thickBot="1" x14ac:dyDescent="0.3">
      <c r="A29" s="62"/>
      <c r="B29" s="327"/>
      <c r="C29" s="311"/>
      <c r="D29" s="311"/>
      <c r="E29" s="58"/>
      <c r="F29" s="311"/>
      <c r="G29" s="311"/>
      <c r="H29" s="38">
        <f>G29-F29+1</f>
        <v>1</v>
      </c>
      <c r="I29" s="38"/>
      <c r="J29" s="309"/>
      <c r="K29" s="32">
        <f>J29/30</f>
        <v>0</v>
      </c>
      <c r="L29" s="38"/>
      <c r="M29" s="32">
        <f>K29*L29</f>
        <v>0</v>
      </c>
      <c r="N29" s="157">
        <f>M29*0.9</f>
        <v>0</v>
      </c>
      <c r="O29" s="315"/>
    </row>
    <row r="30" spans="1:15" ht="15.75" thickBot="1" x14ac:dyDescent="0.3">
      <c r="A30" s="57"/>
      <c r="B30" s="325"/>
      <c r="C30" s="33"/>
      <c r="D30" s="33"/>
      <c r="E30" s="33"/>
      <c r="F30" s="33"/>
      <c r="G30" s="33"/>
      <c r="H30" s="33"/>
      <c r="I30" s="33"/>
      <c r="J30" s="33"/>
      <c r="K30" s="57"/>
      <c r="L30" s="57"/>
      <c r="M30" s="57"/>
      <c r="N30" s="59">
        <f>SUM(N27:N29)</f>
        <v>4509.420000000001</v>
      </c>
      <c r="O30" s="57"/>
    </row>
    <row r="31" spans="1:15" ht="21" customHeight="1" thickBot="1" x14ac:dyDescent="0.3">
      <c r="A31" s="63"/>
      <c r="B31" s="328"/>
      <c r="C31" s="34"/>
      <c r="D31" s="34"/>
      <c r="E31" s="34"/>
      <c r="F31" s="34"/>
      <c r="G31" s="34"/>
      <c r="H31" s="34"/>
      <c r="I31" s="34"/>
      <c r="J31" s="440"/>
      <c r="K31" s="63"/>
      <c r="L31" s="63"/>
      <c r="M31" s="63"/>
      <c r="N31" s="63"/>
      <c r="O31" s="63"/>
    </row>
    <row r="32" spans="1:15" ht="24" thickBot="1" x14ac:dyDescent="0.3">
      <c r="J32" s="441"/>
      <c r="K32" s="447" t="s">
        <v>26</v>
      </c>
      <c r="L32" s="448"/>
      <c r="M32" s="449"/>
      <c r="N32" s="185">
        <f>N14+N22+N30</f>
        <v>34142</v>
      </c>
      <c r="O32" s="120"/>
    </row>
    <row r="33" spans="10:15" x14ac:dyDescent="0.25">
      <c r="J33" s="441"/>
      <c r="O33" s="163"/>
    </row>
  </sheetData>
  <mergeCells count="41">
    <mergeCell ref="N17:N18"/>
    <mergeCell ref="O17:O18"/>
    <mergeCell ref="F23:M24"/>
    <mergeCell ref="A25:A26"/>
    <mergeCell ref="B25:B26"/>
    <mergeCell ref="C25:D25"/>
    <mergeCell ref="F25:G25"/>
    <mergeCell ref="H25:H26"/>
    <mergeCell ref="J25:J26"/>
    <mergeCell ref="K25:K26"/>
    <mergeCell ref="L25:L26"/>
    <mergeCell ref="M25:M26"/>
    <mergeCell ref="N25:N26"/>
    <mergeCell ref="O25:O26"/>
    <mergeCell ref="C4:M4"/>
    <mergeCell ref="F15:M16"/>
    <mergeCell ref="A17:A18"/>
    <mergeCell ref="B17:B18"/>
    <mergeCell ref="C17:D17"/>
    <mergeCell ref="F17:G17"/>
    <mergeCell ref="H17:H18"/>
    <mergeCell ref="J17:J18"/>
    <mergeCell ref="K17:K18"/>
    <mergeCell ref="L17:L18"/>
    <mergeCell ref="M17:M18"/>
    <mergeCell ref="K32:M32"/>
    <mergeCell ref="A1:B1"/>
    <mergeCell ref="A2:B2"/>
    <mergeCell ref="N5:N6"/>
    <mergeCell ref="O5:O6"/>
    <mergeCell ref="A3:O3"/>
    <mergeCell ref="I5:I6"/>
    <mergeCell ref="A5:A6"/>
    <mergeCell ref="B5:B6"/>
    <mergeCell ref="F5:G5"/>
    <mergeCell ref="H5:H6"/>
    <mergeCell ref="J5:J6"/>
    <mergeCell ref="K5:K6"/>
    <mergeCell ref="L5:L6"/>
    <mergeCell ref="M5:M6"/>
    <mergeCell ref="C5:D5"/>
  </mergeCells>
  <printOptions horizontalCentered="1"/>
  <pageMargins left="0.19685039370078741" right="0" top="0.55118110236220474" bottom="0.35433070866141736" header="0.31496062992125984" footer="0.31496062992125984"/>
  <pageSetup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9"/>
  <sheetViews>
    <sheetView zoomScale="120" zoomScaleNormal="120" workbookViewId="0">
      <selection activeCell="F25" sqref="F25:G26"/>
    </sheetView>
  </sheetViews>
  <sheetFormatPr baseColWidth="10" defaultColWidth="11.42578125" defaultRowHeight="15" x14ac:dyDescent="0.25"/>
  <cols>
    <col min="1" max="1" width="3.5703125" customWidth="1"/>
    <col min="2" max="2" width="28.42578125" style="1" customWidth="1"/>
    <col min="3" max="4" width="9.42578125" style="1" customWidth="1"/>
    <col min="5" max="5" width="4.7109375" style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17.28515625" style="82" bestFit="1" customWidth="1"/>
  </cols>
  <sheetData>
    <row r="1" spans="1:15" x14ac:dyDescent="0.25">
      <c r="A1" s="554" t="s">
        <v>46</v>
      </c>
      <c r="B1" s="554"/>
      <c r="M1" t="s">
        <v>63</v>
      </c>
      <c r="O1" s="82" t="s">
        <v>76</v>
      </c>
    </row>
    <row r="2" spans="1:15" x14ac:dyDescent="0.25">
      <c r="A2" s="554" t="s">
        <v>47</v>
      </c>
      <c r="B2" s="554"/>
    </row>
    <row r="3" spans="1:15" ht="30.75" customHeight="1" thickBot="1" x14ac:dyDescent="0.5">
      <c r="A3" s="550" t="s">
        <v>50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29"/>
      <c r="C8" s="56"/>
      <c r="D8" s="56"/>
      <c r="E8" s="76">
        <f>D8-C8+1</f>
        <v>1</v>
      </c>
      <c r="F8" s="13"/>
      <c r="G8" s="13"/>
      <c r="H8" s="9">
        <f>G8-F8+1</f>
        <v>1</v>
      </c>
      <c r="I8" s="9">
        <f>H8-3</f>
        <v>-2</v>
      </c>
      <c r="J8" s="14"/>
      <c r="K8" s="14">
        <f>J8/30</f>
        <v>0</v>
      </c>
      <c r="L8" s="15"/>
      <c r="M8" s="14">
        <f>K8*L8</f>
        <v>0</v>
      </c>
      <c r="N8" s="14">
        <f>M8*0.75</f>
        <v>0</v>
      </c>
      <c r="O8" s="17"/>
    </row>
    <row r="9" spans="1:15" x14ac:dyDescent="0.25">
      <c r="A9" s="6"/>
      <c r="B9" s="195"/>
      <c r="C9" s="56"/>
      <c r="D9" s="56"/>
      <c r="E9" s="76">
        <f>D9-C9+1</f>
        <v>1</v>
      </c>
      <c r="F9" s="74"/>
      <c r="G9" s="8"/>
      <c r="H9" s="9">
        <f>G9-F9+1</f>
        <v>1</v>
      </c>
      <c r="I9" s="9">
        <f>H9-3</f>
        <v>-2</v>
      </c>
      <c r="J9" s="10"/>
      <c r="K9" s="14">
        <f>J9/30</f>
        <v>0</v>
      </c>
      <c r="L9" s="15"/>
      <c r="M9" s="14">
        <f>K9*L9</f>
        <v>0</v>
      </c>
      <c r="N9" s="14">
        <f>M9*0.75</f>
        <v>0</v>
      </c>
      <c r="O9" s="17"/>
    </row>
    <row r="10" spans="1:15" ht="15.75" thickBot="1" x14ac:dyDescent="0.3">
      <c r="A10" s="6"/>
      <c r="B10" s="29"/>
      <c r="C10" s="56"/>
      <c r="D10" s="56"/>
      <c r="E10" s="76">
        <f>D10-C10+1</f>
        <v>1</v>
      </c>
      <c r="F10" s="13"/>
      <c r="G10" s="13"/>
      <c r="H10" s="9">
        <f>G10-F10+1</f>
        <v>1</v>
      </c>
      <c r="I10" s="9">
        <f>H10-3</f>
        <v>-2</v>
      </c>
      <c r="J10" s="14"/>
      <c r="K10" s="14">
        <f>J10/30</f>
        <v>0</v>
      </c>
      <c r="L10" s="15"/>
      <c r="M10" s="14">
        <f>K10*L10</f>
        <v>0</v>
      </c>
      <c r="N10" s="14">
        <f>M10*0.75</f>
        <v>0</v>
      </c>
      <c r="O10" s="17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0</v>
      </c>
      <c r="O11" s="79"/>
    </row>
    <row r="12" spans="1:15" ht="15" customHeight="1" x14ac:dyDescent="0.25">
      <c r="A12" s="4"/>
      <c r="B12" s="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114"/>
      <c r="O12" s="79"/>
    </row>
    <row r="13" spans="1:15" ht="15.75" customHeight="1" thickBot="1" x14ac:dyDescent="0.3">
      <c r="A13" s="4"/>
      <c r="B13" s="4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" t="s">
        <v>57</v>
      </c>
      <c r="O13" s="47"/>
    </row>
    <row r="14" spans="1:15" ht="33" customHeight="1" thickBot="1" x14ac:dyDescent="0.3">
      <c r="A14" s="105" t="s">
        <v>6</v>
      </c>
      <c r="B14" s="105" t="s">
        <v>8</v>
      </c>
      <c r="C14" s="582" t="s">
        <v>37</v>
      </c>
      <c r="D14" s="583"/>
      <c r="E14" s="75"/>
      <c r="F14" s="585" t="s">
        <v>40</v>
      </c>
      <c r="G14" s="586"/>
      <c r="H14" s="10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80" t="s">
        <v>11</v>
      </c>
    </row>
    <row r="15" spans="1:15" ht="15.75" thickBot="1" x14ac:dyDescent="0.3">
      <c r="A15" s="106"/>
      <c r="B15" s="106"/>
      <c r="C15" s="70" t="s">
        <v>38</v>
      </c>
      <c r="D15" s="70" t="s">
        <v>39</v>
      </c>
      <c r="E15" s="70"/>
      <c r="F15" s="5" t="s">
        <v>0</v>
      </c>
      <c r="G15" s="25" t="s">
        <v>1</v>
      </c>
      <c r="H15" s="24"/>
      <c r="I15" s="24"/>
      <c r="J15" s="451"/>
      <c r="K15" s="451"/>
      <c r="L15" s="451"/>
      <c r="M15" s="451"/>
      <c r="N15" s="451"/>
      <c r="O15" s="81"/>
    </row>
    <row r="16" spans="1:15" x14ac:dyDescent="0.25">
      <c r="A16" s="21"/>
      <c r="B16" s="3"/>
      <c r="C16" s="56">
        <v>0</v>
      </c>
      <c r="D16" s="56">
        <v>0</v>
      </c>
      <c r="E16" s="76">
        <f>D16-C16+1</f>
        <v>1</v>
      </c>
      <c r="F16" s="2">
        <v>0</v>
      </c>
      <c r="G16" s="2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22"/>
    </row>
    <row r="17" spans="1:15" x14ac:dyDescent="0.25">
      <c r="A17" s="21"/>
      <c r="B17" s="7"/>
      <c r="C17" s="56"/>
      <c r="D17" s="56"/>
      <c r="E17" s="76">
        <f>D17-C17+1</f>
        <v>1</v>
      </c>
      <c r="F17" s="8"/>
      <c r="G17" s="8"/>
      <c r="H17" s="9">
        <f>G17-F17+1</f>
        <v>1</v>
      </c>
      <c r="I17" s="9"/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22"/>
    </row>
    <row r="18" spans="1:15" ht="15.75" thickBot="1" x14ac:dyDescent="0.3">
      <c r="A18" s="21"/>
      <c r="B18" s="73"/>
      <c r="C18" s="56"/>
      <c r="D18" s="56"/>
      <c r="E18" s="76">
        <f>D18-C18+1</f>
        <v>1</v>
      </c>
      <c r="F18" s="74"/>
      <c r="G18" s="8"/>
      <c r="H18" s="9">
        <f>G18-F18+1</f>
        <v>1</v>
      </c>
      <c r="I18" s="9"/>
      <c r="J18" s="10"/>
      <c r="K18" s="10">
        <f>J18/30</f>
        <v>0</v>
      </c>
      <c r="L18" s="9"/>
      <c r="M18" s="10">
        <f>K18*L18</f>
        <v>0</v>
      </c>
      <c r="N18" s="10">
        <f>M18*0.9</f>
        <v>0</v>
      </c>
      <c r="O18" s="22"/>
    </row>
    <row r="19" spans="1:15" ht="15.75" thickBot="1" x14ac:dyDescent="0.3">
      <c r="A19" s="4"/>
      <c r="B19" s="18"/>
      <c r="C19" s="72"/>
      <c r="D19" s="72"/>
      <c r="E19" s="72"/>
      <c r="F19" s="18"/>
      <c r="G19" s="18"/>
      <c r="H19" s="18"/>
      <c r="I19" s="18"/>
      <c r="J19" s="18"/>
      <c r="K19" s="4"/>
      <c r="L19" s="4"/>
      <c r="M19" s="4"/>
      <c r="N19" s="27">
        <f>SUM(N16:N18)</f>
        <v>0</v>
      </c>
      <c r="O19" s="79"/>
    </row>
    <row r="20" spans="1:15" ht="15" customHeight="1" x14ac:dyDescent="0.25">
      <c r="A20" s="4"/>
      <c r="B20" s="4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4"/>
      <c r="O20" s="79"/>
    </row>
    <row r="21" spans="1:15" ht="15.75" customHeight="1" thickBot="1" x14ac:dyDescent="0.3">
      <c r="A21" s="4"/>
      <c r="B21" s="4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4"/>
      <c r="O21" s="47"/>
    </row>
    <row r="22" spans="1:15" ht="32.25" customHeight="1" thickBot="1" x14ac:dyDescent="0.3">
      <c r="A22" s="472" t="s">
        <v>6</v>
      </c>
      <c r="B22" s="472" t="s">
        <v>8</v>
      </c>
      <c r="C22" s="582" t="s">
        <v>37</v>
      </c>
      <c r="D22" s="583"/>
      <c r="E22" s="75"/>
      <c r="F22" s="460" t="s">
        <v>40</v>
      </c>
      <c r="G22" s="584"/>
      <c r="H22" s="461"/>
      <c r="I22" s="20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80" t="s">
        <v>11</v>
      </c>
    </row>
    <row r="23" spans="1:15" ht="15.75" thickBot="1" x14ac:dyDescent="0.3">
      <c r="A23" s="473"/>
      <c r="B23" s="473"/>
      <c r="C23" s="70" t="s">
        <v>38</v>
      </c>
      <c r="D23" s="70" t="s">
        <v>39</v>
      </c>
      <c r="E23" s="70"/>
      <c r="F23" s="24" t="s">
        <v>0</v>
      </c>
      <c r="G23" s="107" t="s">
        <v>1</v>
      </c>
      <c r="H23" s="24"/>
      <c r="I23" s="24"/>
      <c r="J23" s="451"/>
      <c r="K23" s="451"/>
      <c r="L23" s="451"/>
      <c r="M23" s="451"/>
      <c r="N23" s="451"/>
      <c r="O23" s="81"/>
    </row>
    <row r="24" spans="1:15" x14ac:dyDescent="0.25">
      <c r="A24" s="21"/>
      <c r="B24" s="7"/>
      <c r="C24" s="56">
        <v>0</v>
      </c>
      <c r="D24" s="56">
        <v>0</v>
      </c>
      <c r="E24" s="55"/>
      <c r="F24" s="8">
        <v>0</v>
      </c>
      <c r="G24" s="8">
        <v>0</v>
      </c>
      <c r="H24" s="9">
        <f>G24-F24+1</f>
        <v>1</v>
      </c>
      <c r="I24" s="9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x14ac:dyDescent="0.25">
      <c r="A25" s="21"/>
      <c r="B25" s="7"/>
      <c r="C25" s="7"/>
      <c r="D25" s="7"/>
      <c r="E25" s="7"/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ht="15.75" thickBot="1" x14ac:dyDescent="0.3">
      <c r="A26" s="21"/>
      <c r="B26" s="7"/>
      <c r="C26" s="7"/>
      <c r="D26" s="7"/>
      <c r="E26" s="7"/>
      <c r="F26" s="8"/>
      <c r="G26" s="8"/>
      <c r="H26" s="9">
        <f>G26-F26+1</f>
        <v>1</v>
      </c>
      <c r="I26" s="9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79"/>
    </row>
    <row r="28" spans="1:15" ht="15.75" thickBot="1" x14ac:dyDescent="0.3"/>
    <row r="29" spans="1:15" ht="15.75" thickBot="1" x14ac:dyDescent="0.3">
      <c r="K29" s="579" t="s">
        <v>26</v>
      </c>
      <c r="L29" s="580"/>
      <c r="M29" s="581"/>
      <c r="N29" s="172">
        <f>N27+N19+N11</f>
        <v>0</v>
      </c>
    </row>
  </sheetData>
  <mergeCells count="30">
    <mergeCell ref="A1:B1"/>
    <mergeCell ref="A2:B2"/>
    <mergeCell ref="A3:O3"/>
    <mergeCell ref="C4:M4"/>
    <mergeCell ref="C5:D5"/>
    <mergeCell ref="F5:G5"/>
    <mergeCell ref="J5:J6"/>
    <mergeCell ref="K5:K6"/>
    <mergeCell ref="L5:L6"/>
    <mergeCell ref="M5:M6"/>
    <mergeCell ref="N5:N6"/>
    <mergeCell ref="C12:M13"/>
    <mergeCell ref="C14:D14"/>
    <mergeCell ref="F14:G14"/>
    <mergeCell ref="J14:J15"/>
    <mergeCell ref="K14:K15"/>
    <mergeCell ref="L14:L15"/>
    <mergeCell ref="M14:M15"/>
    <mergeCell ref="N22:N23"/>
    <mergeCell ref="K29:M29"/>
    <mergeCell ref="N14:N15"/>
    <mergeCell ref="C20:M21"/>
    <mergeCell ref="A22:A23"/>
    <mergeCell ref="B22:B23"/>
    <mergeCell ref="C22:D22"/>
    <mergeCell ref="F22:H22"/>
    <mergeCell ref="J22:J23"/>
    <mergeCell ref="K22:K23"/>
    <mergeCell ref="L22:L23"/>
    <mergeCell ref="M22:M23"/>
  </mergeCells>
  <pageMargins left="0.9055118110236221" right="0.31496062992125984" top="0.74803149606299213" bottom="0.74803149606299213" header="0.31496062992125984" footer="0.31496062992125984"/>
  <pageSetup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0"/>
  <sheetViews>
    <sheetView view="pageBreakPreview" zoomScale="110" zoomScaleNormal="100" zoomScaleSheetLayoutView="110" workbookViewId="0">
      <selection activeCell="G18" sqref="G18"/>
    </sheetView>
  </sheetViews>
  <sheetFormatPr baseColWidth="10" defaultColWidth="11.42578125" defaultRowHeight="15" x14ac:dyDescent="0.25"/>
  <cols>
    <col min="1" max="1" width="3.5703125" customWidth="1"/>
    <col min="2" max="2" width="27.7109375" style="1" customWidth="1"/>
    <col min="3" max="4" width="9.42578125" style="1" customWidth="1"/>
    <col min="5" max="5" width="5.5703125" style="1" bestFit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17.28515625" style="82" bestFit="1" customWidth="1"/>
  </cols>
  <sheetData>
    <row r="1" spans="1:15" x14ac:dyDescent="0.25">
      <c r="A1" s="554" t="s">
        <v>46</v>
      </c>
      <c r="B1" s="554"/>
      <c r="C1" s="225"/>
      <c r="D1" s="225"/>
      <c r="E1" s="225"/>
      <c r="F1" s="225"/>
      <c r="G1" s="225"/>
      <c r="H1" s="225"/>
      <c r="I1" s="225"/>
      <c r="J1" s="225"/>
      <c r="M1" t="s">
        <v>63</v>
      </c>
      <c r="O1" s="82" t="s">
        <v>78</v>
      </c>
    </row>
    <row r="2" spans="1:15" x14ac:dyDescent="0.25">
      <c r="A2" s="554" t="s">
        <v>47</v>
      </c>
      <c r="B2" s="554"/>
      <c r="C2" s="225"/>
      <c r="D2" s="225"/>
      <c r="E2" s="225"/>
      <c r="F2" s="225"/>
      <c r="G2" s="225"/>
      <c r="H2" s="225"/>
      <c r="I2" s="225"/>
      <c r="J2" s="225"/>
    </row>
    <row r="3" spans="1:15" ht="27" customHeight="1" thickBot="1" x14ac:dyDescent="0.5">
      <c r="A3" s="550" t="s">
        <v>51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212"/>
      <c r="C8" s="56"/>
      <c r="D8" s="56"/>
      <c r="E8" s="124">
        <f>D8-C8+1</f>
        <v>1</v>
      </c>
      <c r="F8" s="56"/>
      <c r="G8" s="13"/>
      <c r="H8" s="9">
        <f>G8-F8+1</f>
        <v>1</v>
      </c>
      <c r="I8" s="9">
        <f>H8-3</f>
        <v>-2</v>
      </c>
      <c r="J8" s="14"/>
      <c r="K8" s="14">
        <f>J8/30</f>
        <v>0</v>
      </c>
      <c r="L8" s="15"/>
      <c r="M8" s="14">
        <f>K8*L8</f>
        <v>0</v>
      </c>
      <c r="N8" s="167">
        <f>M8*0.75</f>
        <v>0</v>
      </c>
      <c r="O8" s="17"/>
    </row>
    <row r="9" spans="1:15" x14ac:dyDescent="0.25">
      <c r="A9" s="6">
        <v>2</v>
      </c>
      <c r="B9" s="212"/>
      <c r="C9" s="56"/>
      <c r="D9" s="56"/>
      <c r="E9" s="124">
        <f t="shared" ref="E9" si="0">D9-C9+1</f>
        <v>1</v>
      </c>
      <c r="F9" s="56"/>
      <c r="G9" s="13"/>
      <c r="H9" s="9">
        <f t="shared" ref="H9" si="1">G9-F9+1</f>
        <v>1</v>
      </c>
      <c r="I9" s="9">
        <f t="shared" ref="I9" si="2">H9-3</f>
        <v>-2</v>
      </c>
      <c r="J9" s="14"/>
      <c r="K9" s="14">
        <f t="shared" ref="K9" si="3">J9/30</f>
        <v>0</v>
      </c>
      <c r="L9" s="15"/>
      <c r="M9" s="14">
        <f t="shared" ref="M9" si="4">K9*L9</f>
        <v>0</v>
      </c>
      <c r="N9" s="167">
        <f t="shared" ref="N9" si="5">M9*0.75</f>
        <v>0</v>
      </c>
      <c r="O9" s="17"/>
    </row>
    <row r="10" spans="1:15" ht="15.75" thickBot="1" x14ac:dyDescent="0.3">
      <c r="A10" s="6"/>
      <c r="B10" s="195"/>
      <c r="C10" s="213"/>
      <c r="D10" s="213"/>
      <c r="E10" s="214">
        <f t="shared" ref="E10" si="6">D10-C10+1</f>
        <v>1</v>
      </c>
      <c r="F10" s="213"/>
      <c r="G10" s="215"/>
      <c r="H10" s="216">
        <f t="shared" ref="H10" si="7">G10-F10+1</f>
        <v>1</v>
      </c>
      <c r="I10" s="216">
        <f t="shared" ref="I10" si="8">H10-3</f>
        <v>-2</v>
      </c>
      <c r="J10" s="217"/>
      <c r="K10" s="217">
        <f t="shared" ref="K10" si="9">J10/30</f>
        <v>0</v>
      </c>
      <c r="L10" s="218"/>
      <c r="M10" s="217">
        <f t="shared" ref="M10" si="10">K10*L10</f>
        <v>0</v>
      </c>
      <c r="N10" s="219">
        <f t="shared" ref="N10" si="11">M10*0.75</f>
        <v>0</v>
      </c>
      <c r="O10" s="220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0</v>
      </c>
      <c r="O11" s="79"/>
    </row>
    <row r="12" spans="1:15" ht="15" customHeight="1" x14ac:dyDescent="0.25">
      <c r="A12" s="4"/>
      <c r="B12" s="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"/>
      <c r="O12" s="79"/>
    </row>
    <row r="13" spans="1:15" ht="15.75" customHeight="1" thickBot="1" x14ac:dyDescent="0.3">
      <c r="A13" s="4"/>
      <c r="B13" s="4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"/>
      <c r="O13" s="47"/>
    </row>
    <row r="14" spans="1:15" ht="33" customHeight="1" thickBot="1" x14ac:dyDescent="0.3">
      <c r="A14" s="105" t="s">
        <v>6</v>
      </c>
      <c r="B14" s="105" t="s">
        <v>8</v>
      </c>
      <c r="C14" s="582" t="s">
        <v>37</v>
      </c>
      <c r="D14" s="583"/>
      <c r="E14" s="75"/>
      <c r="F14" s="585" t="s">
        <v>40</v>
      </c>
      <c r="G14" s="586"/>
      <c r="H14" s="10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80" t="s">
        <v>11</v>
      </c>
    </row>
    <row r="15" spans="1:15" ht="15.75" thickBot="1" x14ac:dyDescent="0.3">
      <c r="A15" s="106"/>
      <c r="B15" s="106"/>
      <c r="C15" s="70" t="s">
        <v>38</v>
      </c>
      <c r="D15" s="70" t="s">
        <v>39</v>
      </c>
      <c r="E15" s="70"/>
      <c r="F15" s="5" t="s">
        <v>0</v>
      </c>
      <c r="G15" s="25" t="s">
        <v>1</v>
      </c>
      <c r="H15" s="24"/>
      <c r="I15" s="24"/>
      <c r="J15" s="451"/>
      <c r="K15" s="451"/>
      <c r="L15" s="451"/>
      <c r="M15" s="451"/>
      <c r="N15" s="451"/>
      <c r="O15" s="81"/>
    </row>
    <row r="16" spans="1:15" x14ac:dyDescent="0.25">
      <c r="A16" s="21"/>
      <c r="B16" s="3"/>
      <c r="C16" s="56">
        <v>0</v>
      </c>
      <c r="D16" s="56">
        <v>0</v>
      </c>
      <c r="E16" s="76">
        <f>D16-C16+1</f>
        <v>1</v>
      </c>
      <c r="F16" s="2">
        <v>0</v>
      </c>
      <c r="G16" s="2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/>
      <c r="M16" s="10">
        <f>K16*L16</f>
        <v>0</v>
      </c>
      <c r="N16" s="10">
        <f>M16*0.9</f>
        <v>0</v>
      </c>
      <c r="O16" s="22"/>
    </row>
    <row r="17" spans="1:15" x14ac:dyDescent="0.25">
      <c r="A17" s="21">
        <v>1</v>
      </c>
      <c r="B17" s="73" t="s">
        <v>102</v>
      </c>
      <c r="C17" s="56">
        <v>45544</v>
      </c>
      <c r="D17" s="56">
        <v>45633</v>
      </c>
      <c r="E17" s="76">
        <f>D17-C17+1</f>
        <v>90</v>
      </c>
      <c r="F17" s="74">
        <v>45627</v>
      </c>
      <c r="G17" s="8">
        <v>45633</v>
      </c>
      <c r="H17" s="9">
        <f>G17-F17+1</f>
        <v>7</v>
      </c>
      <c r="I17" s="9">
        <v>30</v>
      </c>
      <c r="J17" s="10">
        <v>5284</v>
      </c>
      <c r="K17" s="10">
        <f>J17/30</f>
        <v>176.13333333333333</v>
      </c>
      <c r="L17" s="9">
        <f>+H17</f>
        <v>7</v>
      </c>
      <c r="M17" s="10">
        <f>K17*L17</f>
        <v>1232.9333333333334</v>
      </c>
      <c r="N17" s="10">
        <f>M17*0.9</f>
        <v>1109.6400000000001</v>
      </c>
      <c r="O17" s="22"/>
    </row>
    <row r="18" spans="1:15" x14ac:dyDescent="0.25">
      <c r="A18" s="21"/>
      <c r="B18" s="73"/>
      <c r="C18" s="56"/>
      <c r="D18" s="56"/>
      <c r="E18" s="76">
        <f>D18-C18+1</f>
        <v>1</v>
      </c>
      <c r="F18" s="74"/>
      <c r="G18" s="8"/>
      <c r="H18" s="9">
        <f>G18-F18+1</f>
        <v>1</v>
      </c>
      <c r="I18" s="9">
        <v>30</v>
      </c>
      <c r="J18" s="10"/>
      <c r="K18" s="10">
        <f>J18/30</f>
        <v>0</v>
      </c>
      <c r="L18" s="9"/>
      <c r="M18" s="10">
        <f>K18*L18</f>
        <v>0</v>
      </c>
      <c r="N18" s="10">
        <f>M18*0.9</f>
        <v>0</v>
      </c>
      <c r="O18" s="22"/>
    </row>
    <row r="19" spans="1:15" ht="15.75" thickBot="1" x14ac:dyDescent="0.3">
      <c r="A19" s="21"/>
      <c r="B19" s="73"/>
      <c r="C19" s="56"/>
      <c r="D19" s="56"/>
      <c r="E19" s="76"/>
      <c r="F19" s="74"/>
      <c r="G19" s="8"/>
      <c r="H19" s="9"/>
      <c r="I19" s="9"/>
      <c r="J19" s="10"/>
      <c r="K19" s="10"/>
      <c r="L19" s="9"/>
      <c r="M19" s="10"/>
      <c r="N19" s="10"/>
      <c r="O19" s="22"/>
    </row>
    <row r="20" spans="1:15" ht="15.75" thickBot="1" x14ac:dyDescent="0.3">
      <c r="A20" s="4"/>
      <c r="B20" s="18"/>
      <c r="C20" s="72"/>
      <c r="D20" s="72"/>
      <c r="E20" s="72"/>
      <c r="F20" s="18"/>
      <c r="G20" s="18"/>
      <c r="H20" s="18"/>
      <c r="I20" s="18"/>
      <c r="J20" s="18"/>
      <c r="K20" s="4"/>
      <c r="L20" s="4"/>
      <c r="M20" s="4"/>
      <c r="N20" s="27">
        <f>SUM(N16:N19)</f>
        <v>1109.6400000000001</v>
      </c>
      <c r="O20" s="79"/>
    </row>
    <row r="21" spans="1:15" ht="15" customHeight="1" x14ac:dyDescent="0.25">
      <c r="A21" s="4"/>
      <c r="B21" s="4"/>
      <c r="C21" s="476" t="s">
        <v>25</v>
      </c>
      <c r="D21" s="477"/>
      <c r="E21" s="477"/>
      <c r="F21" s="477"/>
      <c r="G21" s="477"/>
      <c r="H21" s="477"/>
      <c r="I21" s="477"/>
      <c r="J21" s="477"/>
      <c r="K21" s="477"/>
      <c r="L21" s="477"/>
      <c r="M21" s="478"/>
      <c r="N21" s="4"/>
      <c r="O21" s="79"/>
    </row>
    <row r="22" spans="1:15" ht="15.75" customHeight="1" thickBot="1" x14ac:dyDescent="0.3">
      <c r="A22" s="4"/>
      <c r="B22" s="4"/>
      <c r="C22" s="479"/>
      <c r="D22" s="480"/>
      <c r="E22" s="480"/>
      <c r="F22" s="480"/>
      <c r="G22" s="480"/>
      <c r="H22" s="480"/>
      <c r="I22" s="480"/>
      <c r="J22" s="480"/>
      <c r="K22" s="480"/>
      <c r="L22" s="480"/>
      <c r="M22" s="481"/>
      <c r="N22" s="4"/>
      <c r="O22" s="47"/>
    </row>
    <row r="23" spans="1:15" ht="32.25" customHeight="1" thickBot="1" x14ac:dyDescent="0.3">
      <c r="A23" s="472" t="s">
        <v>6</v>
      </c>
      <c r="B23" s="472" t="s">
        <v>8</v>
      </c>
      <c r="C23" s="582" t="s">
        <v>37</v>
      </c>
      <c r="D23" s="583"/>
      <c r="E23" s="75"/>
      <c r="F23" s="460" t="s">
        <v>40</v>
      </c>
      <c r="G23" s="584"/>
      <c r="H23" s="461"/>
      <c r="I23" s="20"/>
      <c r="J23" s="450" t="s">
        <v>2</v>
      </c>
      <c r="K23" s="450" t="s">
        <v>3</v>
      </c>
      <c r="L23" s="450" t="s">
        <v>4</v>
      </c>
      <c r="M23" s="450" t="s">
        <v>5</v>
      </c>
      <c r="N23" s="450" t="s">
        <v>10</v>
      </c>
      <c r="O23" s="80" t="s">
        <v>11</v>
      </c>
    </row>
    <row r="24" spans="1:15" ht="15.75" thickBot="1" x14ac:dyDescent="0.3">
      <c r="A24" s="473"/>
      <c r="B24" s="473"/>
      <c r="C24" s="70" t="s">
        <v>38</v>
      </c>
      <c r="D24" s="70" t="s">
        <v>39</v>
      </c>
      <c r="E24" s="70"/>
      <c r="F24" s="24" t="s">
        <v>0</v>
      </c>
      <c r="G24" s="107" t="s">
        <v>1</v>
      </c>
      <c r="H24" s="24"/>
      <c r="I24" s="24"/>
      <c r="J24" s="451"/>
      <c r="K24" s="451"/>
      <c r="L24" s="451"/>
      <c r="M24" s="451"/>
      <c r="N24" s="451"/>
      <c r="O24" s="81"/>
    </row>
    <row r="25" spans="1:15" x14ac:dyDescent="0.25">
      <c r="A25" s="21"/>
      <c r="B25" s="7"/>
      <c r="C25" s="56">
        <v>0</v>
      </c>
      <c r="D25" s="56">
        <v>0</v>
      </c>
      <c r="E25" s="55"/>
      <c r="F25" s="8">
        <v>0</v>
      </c>
      <c r="G25" s="8">
        <v>0</v>
      </c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x14ac:dyDescent="0.25">
      <c r="A26" s="21">
        <v>1</v>
      </c>
      <c r="B26" s="298"/>
      <c r="C26" s="199"/>
      <c r="D26" s="199"/>
      <c r="E26" s="7"/>
      <c r="F26" s="8"/>
      <c r="G26" s="8"/>
      <c r="H26" s="9">
        <f>G26-F26+1</f>
        <v>1</v>
      </c>
      <c r="I26" s="9"/>
      <c r="J26" s="10"/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ht="15.75" thickBot="1" x14ac:dyDescent="0.3">
      <c r="A27" s="21"/>
      <c r="B27" s="173"/>
      <c r="C27" s="299"/>
      <c r="D27" s="299"/>
      <c r="E27" s="300"/>
      <c r="F27" s="301"/>
      <c r="G27" s="301"/>
      <c r="H27" s="216">
        <f>G27-F27+1</f>
        <v>1</v>
      </c>
      <c r="I27" s="216"/>
      <c r="J27" s="302"/>
      <c r="K27" s="302">
        <f>J27/30</f>
        <v>0</v>
      </c>
      <c r="L27" s="216"/>
      <c r="M27" s="302">
        <f>K27*L27</f>
        <v>0</v>
      </c>
      <c r="N27" s="302">
        <f>M27*0.9</f>
        <v>0</v>
      </c>
      <c r="O27" s="22"/>
    </row>
    <row r="28" spans="1:15" ht="15.75" thickBot="1" x14ac:dyDescent="0.3">
      <c r="A28" s="4"/>
      <c r="B28" s="18"/>
      <c r="C28" s="18"/>
      <c r="D28" s="18"/>
      <c r="E28" s="18"/>
      <c r="F28" s="18"/>
      <c r="G28" s="18"/>
      <c r="H28" s="18"/>
      <c r="I28" s="18"/>
      <c r="J28" s="18"/>
      <c r="K28" s="4"/>
      <c r="L28" s="4"/>
      <c r="M28" s="4"/>
      <c r="N28" s="27">
        <f>SUM(N25:N27)</f>
        <v>0</v>
      </c>
      <c r="O28" s="79"/>
    </row>
    <row r="29" spans="1:15" ht="15.75" thickBot="1" x14ac:dyDescent="0.3"/>
    <row r="30" spans="1:15" ht="16.5" thickBot="1" x14ac:dyDescent="0.3">
      <c r="K30" s="579" t="s">
        <v>26</v>
      </c>
      <c r="L30" s="580"/>
      <c r="M30" s="581"/>
      <c r="N30" s="186">
        <f>N28+N20+N11</f>
        <v>1109.6400000000001</v>
      </c>
    </row>
  </sheetData>
  <mergeCells count="30">
    <mergeCell ref="A1:B1"/>
    <mergeCell ref="A2:B2"/>
    <mergeCell ref="A3:O3"/>
    <mergeCell ref="C4:M4"/>
    <mergeCell ref="C5:D5"/>
    <mergeCell ref="F5:G5"/>
    <mergeCell ref="J5:J6"/>
    <mergeCell ref="K5:K6"/>
    <mergeCell ref="L5:L6"/>
    <mergeCell ref="M5:M6"/>
    <mergeCell ref="N5:N6"/>
    <mergeCell ref="C12:M13"/>
    <mergeCell ref="C14:D14"/>
    <mergeCell ref="F14:G14"/>
    <mergeCell ref="J14:J15"/>
    <mergeCell ref="K14:K15"/>
    <mergeCell ref="L14:L15"/>
    <mergeCell ref="M14:M15"/>
    <mergeCell ref="N23:N24"/>
    <mergeCell ref="K30:M30"/>
    <mergeCell ref="N14:N15"/>
    <mergeCell ref="C21:M22"/>
    <mergeCell ref="A23:A24"/>
    <mergeCell ref="B23:B24"/>
    <mergeCell ref="C23:D23"/>
    <mergeCell ref="F23:H23"/>
    <mergeCell ref="J23:J24"/>
    <mergeCell ref="K23:K24"/>
    <mergeCell ref="L23:L24"/>
    <mergeCell ref="M23:M24"/>
  </mergeCells>
  <pageMargins left="0.9055118110236221" right="0.31496062992125984" top="0.74803149606299213" bottom="0.55118110236220474" header="0.31496062992125984" footer="0.31496062992125984"/>
  <pageSetup scale="8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9"/>
  <sheetViews>
    <sheetView view="pageBreakPreview" zoomScale="110" zoomScaleNormal="100" zoomScaleSheetLayoutView="110" workbookViewId="0">
      <selection activeCell="L8" sqref="L8"/>
    </sheetView>
  </sheetViews>
  <sheetFormatPr baseColWidth="10" defaultColWidth="11.42578125" defaultRowHeight="15" x14ac:dyDescent="0.25"/>
  <cols>
    <col min="1" max="1" width="3.5703125" customWidth="1"/>
    <col min="2" max="2" width="25.5703125" style="1" bestFit="1" customWidth="1"/>
    <col min="3" max="4" width="9.42578125" style="1" customWidth="1"/>
    <col min="5" max="5" width="4.7109375" style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18.28515625" style="82" customWidth="1"/>
  </cols>
  <sheetData>
    <row r="1" spans="1:15" x14ac:dyDescent="0.25">
      <c r="A1" s="554" t="s">
        <v>46</v>
      </c>
      <c r="B1" s="554"/>
      <c r="C1" s="343"/>
      <c r="D1" s="343"/>
      <c r="E1" s="343"/>
      <c r="F1" s="343"/>
      <c r="G1" s="343"/>
      <c r="H1" s="343"/>
      <c r="I1" s="343"/>
      <c r="J1" s="343"/>
      <c r="M1" t="s">
        <v>63</v>
      </c>
      <c r="O1" s="82" t="s">
        <v>87</v>
      </c>
    </row>
    <row r="2" spans="1:15" x14ac:dyDescent="0.25">
      <c r="A2" s="554" t="s">
        <v>47</v>
      </c>
      <c r="B2" s="554"/>
      <c r="C2" s="343"/>
      <c r="D2" s="343"/>
      <c r="E2" s="343"/>
      <c r="F2" s="343"/>
      <c r="G2" s="343"/>
      <c r="H2" s="343"/>
      <c r="I2" s="343"/>
      <c r="J2" s="343"/>
    </row>
    <row r="3" spans="1:15" ht="30.75" customHeight="1" thickBot="1" x14ac:dyDescent="0.5">
      <c r="A3" s="550" t="s">
        <v>49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29" t="s">
        <v>109</v>
      </c>
      <c r="C8" s="56"/>
      <c r="D8" s="56"/>
      <c r="E8" s="76">
        <f t="shared" ref="E8" si="0">D8-C8+1</f>
        <v>1</v>
      </c>
      <c r="F8" s="56">
        <v>45612</v>
      </c>
      <c r="G8" s="56">
        <v>45615</v>
      </c>
      <c r="H8" s="9">
        <f t="shared" ref="H8" si="1">G8-F8+1</f>
        <v>4</v>
      </c>
      <c r="I8" s="9">
        <f t="shared" ref="I8" si="2">H8-3</f>
        <v>1</v>
      </c>
      <c r="J8" s="14">
        <v>6100</v>
      </c>
      <c r="K8" s="14">
        <f t="shared" ref="K8" si="3">J8/30</f>
        <v>203.33333333333334</v>
      </c>
      <c r="L8" s="367"/>
      <c r="M8" s="14">
        <f t="shared" ref="M8" si="4">K8*L8</f>
        <v>0</v>
      </c>
      <c r="N8" s="14">
        <f t="shared" ref="N8" si="5">M8*0.75</f>
        <v>0</v>
      </c>
      <c r="O8" s="247"/>
    </row>
    <row r="9" spans="1:15" x14ac:dyDescent="0.25">
      <c r="A9" s="6"/>
      <c r="B9" s="29"/>
      <c r="C9" s="56"/>
      <c r="D9" s="56"/>
      <c r="E9" s="76">
        <f t="shared" ref="E9" si="6">D9-C9+1</f>
        <v>1</v>
      </c>
      <c r="F9" s="56"/>
      <c r="G9" s="56"/>
      <c r="H9" s="9">
        <f t="shared" ref="H9" si="7">G9-F9+1</f>
        <v>1</v>
      </c>
      <c r="I9" s="9">
        <f t="shared" ref="I9" si="8">H9-3</f>
        <v>-2</v>
      </c>
      <c r="J9" s="14"/>
      <c r="K9" s="14"/>
      <c r="L9" s="15"/>
      <c r="M9" s="14">
        <f t="shared" ref="M9" si="9">K9*L9</f>
        <v>0</v>
      </c>
      <c r="N9" s="14">
        <f t="shared" ref="N9" si="10">M9*0.75</f>
        <v>0</v>
      </c>
      <c r="O9" s="247"/>
    </row>
    <row r="10" spans="1:15" ht="15.75" thickBot="1" x14ac:dyDescent="0.3">
      <c r="A10" s="6"/>
      <c r="B10" s="12"/>
      <c r="C10" s="56"/>
      <c r="D10" s="56"/>
      <c r="E10" s="12"/>
      <c r="F10" s="13"/>
      <c r="G10" s="13"/>
      <c r="H10" s="9"/>
      <c r="I10" s="9"/>
      <c r="J10" s="14"/>
      <c r="K10" s="14"/>
      <c r="L10" s="15"/>
      <c r="M10" s="14"/>
      <c r="N10" s="14"/>
      <c r="O10" s="17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0</v>
      </c>
      <c r="O11" s="79"/>
    </row>
    <row r="12" spans="1:15" ht="15" customHeight="1" x14ac:dyDescent="0.25">
      <c r="A12" s="4"/>
      <c r="B12" s="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"/>
      <c r="O12" s="79"/>
    </row>
    <row r="13" spans="1:15" ht="15.75" customHeight="1" thickBot="1" x14ac:dyDescent="0.3">
      <c r="A13" s="4"/>
      <c r="B13" s="4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"/>
      <c r="O13" s="47"/>
    </row>
    <row r="14" spans="1:15" ht="33" customHeight="1" thickBot="1" x14ac:dyDescent="0.3">
      <c r="A14" s="105" t="s">
        <v>6</v>
      </c>
      <c r="B14" s="105" t="s">
        <v>8</v>
      </c>
      <c r="C14" s="582" t="s">
        <v>37</v>
      </c>
      <c r="D14" s="583"/>
      <c r="E14" s="75"/>
      <c r="F14" s="585" t="s">
        <v>40</v>
      </c>
      <c r="G14" s="586"/>
      <c r="H14" s="10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80" t="s">
        <v>11</v>
      </c>
    </row>
    <row r="15" spans="1:15" ht="15.75" thickBot="1" x14ac:dyDescent="0.3">
      <c r="A15" s="106"/>
      <c r="B15" s="106"/>
      <c r="C15" s="70" t="s">
        <v>38</v>
      </c>
      <c r="D15" s="70" t="s">
        <v>39</v>
      </c>
      <c r="E15" s="70"/>
      <c r="F15" s="5" t="s">
        <v>0</v>
      </c>
      <c r="G15" s="25" t="s">
        <v>1</v>
      </c>
      <c r="H15" s="24"/>
      <c r="I15" s="24"/>
      <c r="J15" s="451"/>
      <c r="K15" s="451"/>
      <c r="L15" s="451"/>
      <c r="M15" s="451"/>
      <c r="N15" s="451"/>
      <c r="O15" s="81"/>
    </row>
    <row r="16" spans="1:15" x14ac:dyDescent="0.25">
      <c r="A16" s="21"/>
      <c r="B16" s="3"/>
      <c r="C16" s="56">
        <v>0</v>
      </c>
      <c r="D16" s="56">
        <v>0</v>
      </c>
      <c r="E16" s="76">
        <f>D16-C16+1</f>
        <v>1</v>
      </c>
      <c r="F16" s="2">
        <v>0</v>
      </c>
      <c r="G16" s="2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22"/>
    </row>
    <row r="17" spans="1:15" x14ac:dyDescent="0.25">
      <c r="A17" s="21">
        <v>1</v>
      </c>
      <c r="B17" s="7"/>
      <c r="C17" s="56"/>
      <c r="D17" s="56"/>
      <c r="E17" s="76">
        <f>D17-C17+1</f>
        <v>1</v>
      </c>
      <c r="F17" s="8"/>
      <c r="G17" s="8"/>
      <c r="H17" s="9">
        <f>G17-F17+1</f>
        <v>1</v>
      </c>
      <c r="I17" s="9"/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22"/>
    </row>
    <row r="18" spans="1:15" ht="15.75" thickBot="1" x14ac:dyDescent="0.3">
      <c r="A18" s="21"/>
      <c r="B18" s="73"/>
      <c r="C18" s="56"/>
      <c r="D18" s="56"/>
      <c r="E18" s="76">
        <f>D18-C18+1</f>
        <v>1</v>
      </c>
      <c r="F18" s="74"/>
      <c r="G18" s="8"/>
      <c r="H18" s="9">
        <f>G18-F18+1</f>
        <v>1</v>
      </c>
      <c r="I18" s="9"/>
      <c r="J18" s="10"/>
      <c r="K18" s="10">
        <f>J18/30</f>
        <v>0</v>
      </c>
      <c r="L18" s="9">
        <v>0</v>
      </c>
      <c r="M18" s="10">
        <f>K18*L18</f>
        <v>0</v>
      </c>
      <c r="N18" s="10">
        <f>M18*0.9</f>
        <v>0</v>
      </c>
      <c r="O18" s="22"/>
    </row>
    <row r="19" spans="1:15" ht="15.75" thickBot="1" x14ac:dyDescent="0.3">
      <c r="A19" s="4"/>
      <c r="B19" s="18"/>
      <c r="C19" s="72"/>
      <c r="D19" s="72"/>
      <c r="E19" s="72"/>
      <c r="F19" s="18"/>
      <c r="G19" s="18"/>
      <c r="H19" s="18"/>
      <c r="I19" s="18"/>
      <c r="J19" s="18"/>
      <c r="K19" s="4"/>
      <c r="L19" s="4"/>
      <c r="M19" s="4"/>
      <c r="N19" s="27">
        <f>SUM(N16:N18)</f>
        <v>0</v>
      </c>
      <c r="O19" s="79"/>
    </row>
    <row r="20" spans="1:15" ht="15" customHeight="1" x14ac:dyDescent="0.25">
      <c r="A20" s="4"/>
      <c r="B20" s="4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4"/>
      <c r="O20" s="79"/>
    </row>
    <row r="21" spans="1:15" ht="15.75" customHeight="1" thickBot="1" x14ac:dyDescent="0.3">
      <c r="A21" s="4"/>
      <c r="B21" s="4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4"/>
      <c r="O21" s="47"/>
    </row>
    <row r="22" spans="1:15" ht="32.25" customHeight="1" thickBot="1" x14ac:dyDescent="0.3">
      <c r="A22" s="472" t="s">
        <v>6</v>
      </c>
      <c r="B22" s="472" t="s">
        <v>8</v>
      </c>
      <c r="C22" s="582" t="s">
        <v>37</v>
      </c>
      <c r="D22" s="583"/>
      <c r="E22" s="75"/>
      <c r="F22" s="460" t="s">
        <v>40</v>
      </c>
      <c r="G22" s="584"/>
      <c r="H22" s="461"/>
      <c r="I22" s="20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80" t="s">
        <v>11</v>
      </c>
    </row>
    <row r="23" spans="1:15" ht="15.75" thickBot="1" x14ac:dyDescent="0.3">
      <c r="A23" s="473"/>
      <c r="B23" s="473"/>
      <c r="C23" s="70" t="s">
        <v>38</v>
      </c>
      <c r="D23" s="70" t="s">
        <v>39</v>
      </c>
      <c r="E23" s="70"/>
      <c r="F23" s="24" t="s">
        <v>0</v>
      </c>
      <c r="G23" s="107" t="s">
        <v>1</v>
      </c>
      <c r="H23" s="24"/>
      <c r="I23" s="24"/>
      <c r="J23" s="451"/>
      <c r="K23" s="451"/>
      <c r="L23" s="451"/>
      <c r="M23" s="451"/>
      <c r="N23" s="451"/>
      <c r="O23" s="81"/>
    </row>
    <row r="24" spans="1:15" x14ac:dyDescent="0.25">
      <c r="A24" s="21"/>
      <c r="B24" s="7"/>
      <c r="C24" s="56">
        <v>0</v>
      </c>
      <c r="D24" s="56">
        <v>0</v>
      </c>
      <c r="E24" s="55"/>
      <c r="F24" s="8">
        <v>0</v>
      </c>
      <c r="G24" s="8">
        <v>0</v>
      </c>
      <c r="H24" s="9">
        <f>G24-F24+1</f>
        <v>1</v>
      </c>
      <c r="I24" s="9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x14ac:dyDescent="0.25">
      <c r="A25" s="21"/>
      <c r="B25" s="7"/>
      <c r="C25" s="7"/>
      <c r="D25" s="7"/>
      <c r="E25" s="7"/>
      <c r="F25" s="8"/>
      <c r="G25" s="8"/>
      <c r="H25" s="9">
        <f>G25-F25+1</f>
        <v>1</v>
      </c>
      <c r="I25" s="9"/>
      <c r="J25" s="10"/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ht="15.75" thickBot="1" x14ac:dyDescent="0.3">
      <c r="A26" s="21"/>
      <c r="B26" s="7"/>
      <c r="C26" s="7"/>
      <c r="D26" s="7"/>
      <c r="E26" s="7"/>
      <c r="F26" s="8"/>
      <c r="G26" s="8"/>
      <c r="H26" s="9">
        <f>G26-F26+1</f>
        <v>1</v>
      </c>
      <c r="I26" s="9"/>
      <c r="J26" s="10"/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79"/>
    </row>
    <row r="28" spans="1:15" ht="15.75" thickBot="1" x14ac:dyDescent="0.3"/>
    <row r="29" spans="1:15" ht="15.75" thickBot="1" x14ac:dyDescent="0.3">
      <c r="K29" s="579" t="s">
        <v>26</v>
      </c>
      <c r="L29" s="580"/>
      <c r="M29" s="581"/>
      <c r="N29" s="172">
        <f>N27+N19+N11</f>
        <v>0</v>
      </c>
    </row>
  </sheetData>
  <mergeCells count="30">
    <mergeCell ref="N22:N23"/>
    <mergeCell ref="K29:M29"/>
    <mergeCell ref="N14:N15"/>
    <mergeCell ref="C20:M21"/>
    <mergeCell ref="A22:A23"/>
    <mergeCell ref="B22:B23"/>
    <mergeCell ref="C22:D22"/>
    <mergeCell ref="F22:H22"/>
    <mergeCell ref="J22:J23"/>
    <mergeCell ref="K22:K23"/>
    <mergeCell ref="L22:L23"/>
    <mergeCell ref="M22:M23"/>
    <mergeCell ref="C12:M13"/>
    <mergeCell ref="C14:D14"/>
    <mergeCell ref="F14:G14"/>
    <mergeCell ref="J14:J15"/>
    <mergeCell ref="K14:K15"/>
    <mergeCell ref="L14:L15"/>
    <mergeCell ref="M14:M15"/>
    <mergeCell ref="A1:B1"/>
    <mergeCell ref="A2:B2"/>
    <mergeCell ref="A3:O3"/>
    <mergeCell ref="C4:M4"/>
    <mergeCell ref="C5:D5"/>
    <mergeCell ref="F5:G5"/>
    <mergeCell ref="J5:J6"/>
    <mergeCell ref="K5:K6"/>
    <mergeCell ref="L5:L6"/>
    <mergeCell ref="M5:M6"/>
    <mergeCell ref="N5:N6"/>
  </mergeCells>
  <pageMargins left="0.9055118110236221" right="0.31496062992125984" top="0.74803149606299213" bottom="0.74803149606299213" header="0.31496062992125984" footer="0.31496062992125984"/>
  <pageSetup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9"/>
  <sheetViews>
    <sheetView zoomScale="110" zoomScaleNormal="110" workbookViewId="0">
      <selection activeCell="L8" sqref="L8"/>
    </sheetView>
  </sheetViews>
  <sheetFormatPr baseColWidth="10" defaultColWidth="11.42578125" defaultRowHeight="15" x14ac:dyDescent="0.25"/>
  <cols>
    <col min="1" max="1" width="4.28515625" style="48" customWidth="1"/>
    <col min="2" max="2" width="33.5703125" style="48" bestFit="1" customWidth="1"/>
    <col min="3" max="4" width="10" style="48" customWidth="1"/>
    <col min="5" max="5" width="4.85546875" style="48" customWidth="1"/>
    <col min="6" max="7" width="9.5703125" style="48" bestFit="1" customWidth="1"/>
    <col min="8" max="8" width="5" style="48" bestFit="1" customWidth="1"/>
    <col min="9" max="9" width="2.85546875" style="48" bestFit="1" customWidth="1"/>
    <col min="10" max="10" width="11.28515625" style="48" customWidth="1"/>
    <col min="11" max="11" width="11.42578125" style="48"/>
    <col min="12" max="12" width="6.7109375" style="48" bestFit="1" customWidth="1"/>
    <col min="13" max="13" width="11.42578125" style="48"/>
    <col min="14" max="14" width="17.28515625" style="52" bestFit="1" customWidth="1"/>
    <col min="15" max="15" width="17.28515625" style="48" bestFit="1" customWidth="1"/>
    <col min="16" max="16384" width="11.42578125" style="48"/>
  </cols>
  <sheetData>
    <row r="1" spans="1:15" x14ac:dyDescent="0.25">
      <c r="A1" s="502" t="s">
        <v>46</v>
      </c>
      <c r="B1" s="502"/>
    </row>
    <row r="2" spans="1:15" x14ac:dyDescent="0.25">
      <c r="A2" s="502" t="s">
        <v>47</v>
      </c>
      <c r="B2" s="502"/>
      <c r="N2" s="52" t="s">
        <v>60</v>
      </c>
      <c r="O2" s="48" t="s">
        <v>61</v>
      </c>
    </row>
    <row r="3" spans="1:15" ht="32.25" thickBot="1" x14ac:dyDescent="0.3">
      <c r="A3" s="484" t="s">
        <v>36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  <c r="N3" s="484"/>
    </row>
    <row r="4" spans="1:15" customFormat="1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customFormat="1" ht="29.2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8" t="s">
        <v>40</v>
      </c>
      <c r="G5" s="589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customFormat="1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customFormat="1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 t="shared" ref="K7:K10" si="0">J7/30</f>
        <v>0</v>
      </c>
      <c r="L7" s="9"/>
      <c r="M7" s="10">
        <f>K7*L7</f>
        <v>0</v>
      </c>
      <c r="N7" s="10">
        <f>M7*0.75</f>
        <v>0</v>
      </c>
      <c r="O7" s="11"/>
    </row>
    <row r="8" spans="1:15" customFormat="1" x14ac:dyDescent="0.25">
      <c r="A8" s="6">
        <v>1</v>
      </c>
      <c r="B8" s="174" t="s">
        <v>86</v>
      </c>
      <c r="C8" s="56"/>
      <c r="D8" s="56"/>
      <c r="E8" s="76">
        <f>D8-C8+1</f>
        <v>1</v>
      </c>
      <c r="F8" s="56">
        <v>45435</v>
      </c>
      <c r="G8" s="56">
        <v>45438</v>
      </c>
      <c r="H8" s="9">
        <f>G8-F8+1</f>
        <v>4</v>
      </c>
      <c r="I8" s="9">
        <f>H8-3</f>
        <v>1</v>
      </c>
      <c r="J8" s="14">
        <v>4788</v>
      </c>
      <c r="K8" s="14">
        <f t="shared" si="0"/>
        <v>159.6</v>
      </c>
      <c r="L8" s="15"/>
      <c r="M8" s="14">
        <f>K8*L8</f>
        <v>0</v>
      </c>
      <c r="N8" s="14">
        <f>M8*0.75</f>
        <v>0</v>
      </c>
      <c r="O8" s="17"/>
    </row>
    <row r="9" spans="1:15" customFormat="1" x14ac:dyDescent="0.25">
      <c r="A9" s="6">
        <v>2</v>
      </c>
      <c r="B9" s="174"/>
      <c r="C9" s="56"/>
      <c r="D9" s="56"/>
      <c r="E9" s="76">
        <f t="shared" ref="E9" si="1">D9-C9+1</f>
        <v>1</v>
      </c>
      <c r="F9" s="56"/>
      <c r="G9" s="56"/>
      <c r="H9" s="9">
        <f t="shared" ref="H9" si="2">G9-F9+1</f>
        <v>1</v>
      </c>
      <c r="I9" s="9">
        <f t="shared" ref="I9" si="3">H9-3</f>
        <v>-2</v>
      </c>
      <c r="J9" s="14"/>
      <c r="K9" s="14">
        <f t="shared" si="0"/>
        <v>0</v>
      </c>
      <c r="L9" s="15"/>
      <c r="M9" s="14">
        <f t="shared" ref="M9" si="4">K9*L9</f>
        <v>0</v>
      </c>
      <c r="N9" s="14">
        <f t="shared" ref="N9" si="5">M9*0.75</f>
        <v>0</v>
      </c>
      <c r="O9" s="17"/>
    </row>
    <row r="10" spans="1:15" customFormat="1" ht="15.75" thickBot="1" x14ac:dyDescent="0.3">
      <c r="A10" s="6"/>
      <c r="B10" s="174"/>
      <c r="C10" s="56"/>
      <c r="D10" s="56"/>
      <c r="E10" s="76">
        <f>D10-C10+1</f>
        <v>1</v>
      </c>
      <c r="F10" s="56"/>
      <c r="G10" s="56"/>
      <c r="H10" s="9">
        <f>G10-F10+1</f>
        <v>1</v>
      </c>
      <c r="I10" s="9">
        <f>H10-3</f>
        <v>-2</v>
      </c>
      <c r="J10" s="14"/>
      <c r="K10" s="14">
        <f t="shared" si="0"/>
        <v>0</v>
      </c>
      <c r="L10" s="15"/>
      <c r="M10" s="14">
        <f>K10*L10</f>
        <v>0</v>
      </c>
      <c r="N10" s="14">
        <f>M10*0.75</f>
        <v>0</v>
      </c>
      <c r="O10" s="17"/>
    </row>
    <row r="11" spans="1:15" customFormat="1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0</v>
      </c>
      <c r="O11" s="79"/>
    </row>
    <row r="12" spans="1:15" customFormat="1" ht="15" customHeight="1" x14ac:dyDescent="0.25">
      <c r="A12" s="4"/>
      <c r="B12" s="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"/>
      <c r="O12" s="79"/>
    </row>
    <row r="13" spans="1:15" customFormat="1" ht="15.75" customHeight="1" thickBot="1" x14ac:dyDescent="0.3">
      <c r="A13" s="4"/>
      <c r="B13" s="4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"/>
      <c r="O13" s="47"/>
    </row>
    <row r="14" spans="1:15" customFormat="1" ht="29.25" customHeight="1" thickBot="1" x14ac:dyDescent="0.3">
      <c r="A14" s="105" t="s">
        <v>6</v>
      </c>
      <c r="B14" s="105" t="s">
        <v>8</v>
      </c>
      <c r="C14" s="582" t="s">
        <v>37</v>
      </c>
      <c r="D14" s="583"/>
      <c r="E14" s="75"/>
      <c r="F14" s="588" t="s">
        <v>40</v>
      </c>
      <c r="G14" s="589"/>
      <c r="H14" s="10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80" t="s">
        <v>11</v>
      </c>
    </row>
    <row r="15" spans="1:15" customFormat="1" ht="15.75" thickBot="1" x14ac:dyDescent="0.3">
      <c r="A15" s="106"/>
      <c r="B15" s="106"/>
      <c r="C15" s="70" t="s">
        <v>38</v>
      </c>
      <c r="D15" s="70" t="s">
        <v>39</v>
      </c>
      <c r="E15" s="70"/>
      <c r="F15" s="5" t="s">
        <v>0</v>
      </c>
      <c r="G15" s="25" t="s">
        <v>1</v>
      </c>
      <c r="H15" s="24"/>
      <c r="I15" s="24"/>
      <c r="J15" s="451"/>
      <c r="K15" s="451"/>
      <c r="L15" s="451"/>
      <c r="M15" s="451"/>
      <c r="N15" s="451"/>
      <c r="O15" s="81"/>
    </row>
    <row r="16" spans="1:15" customFormat="1" ht="15" customHeight="1" x14ac:dyDescent="0.25">
      <c r="A16" s="21"/>
      <c r="B16" s="3"/>
      <c r="C16" s="56">
        <v>0</v>
      </c>
      <c r="D16" s="56">
        <v>0</v>
      </c>
      <c r="E16" s="76">
        <f>D16-C16+1</f>
        <v>1</v>
      </c>
      <c r="F16" s="2">
        <v>0</v>
      </c>
      <c r="G16" s="2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22"/>
    </row>
    <row r="17" spans="1:15" customFormat="1" ht="15.75" customHeight="1" x14ac:dyDescent="0.25">
      <c r="A17" s="21">
        <v>1</v>
      </c>
      <c r="B17" s="174"/>
      <c r="C17" s="56"/>
      <c r="D17" s="56"/>
      <c r="E17" s="76">
        <f>D17-C17+1</f>
        <v>1</v>
      </c>
      <c r="F17" s="8"/>
      <c r="G17" s="8"/>
      <c r="H17" s="9">
        <f>G17-F17+1</f>
        <v>1</v>
      </c>
      <c r="I17" s="9"/>
      <c r="J17" s="10"/>
      <c r="K17" s="10">
        <f>+J17/30</f>
        <v>0</v>
      </c>
      <c r="L17" s="9"/>
      <c r="M17" s="10">
        <f>K17*L17</f>
        <v>0</v>
      </c>
      <c r="N17" s="10">
        <f>M17*0.9</f>
        <v>0</v>
      </c>
      <c r="O17" s="22"/>
    </row>
    <row r="18" spans="1:15" customFormat="1" ht="15.75" thickBot="1" x14ac:dyDescent="0.3">
      <c r="A18" s="21"/>
      <c r="B18" s="174"/>
      <c r="C18" s="56"/>
      <c r="D18" s="56"/>
      <c r="E18" s="76">
        <f>D18-C18+1</f>
        <v>1</v>
      </c>
      <c r="F18" s="74"/>
      <c r="G18" s="8"/>
      <c r="H18" s="9">
        <f>G18-F18+1</f>
        <v>1</v>
      </c>
      <c r="I18" s="9"/>
      <c r="J18" s="10"/>
      <c r="K18" s="10">
        <f>J18/30</f>
        <v>0</v>
      </c>
      <c r="L18" s="9"/>
      <c r="M18" s="10">
        <f>K18*L18</f>
        <v>0</v>
      </c>
      <c r="N18" s="10">
        <f>M18*0.9</f>
        <v>0</v>
      </c>
      <c r="O18" s="22"/>
    </row>
    <row r="19" spans="1:15" customFormat="1" ht="15.75" thickBot="1" x14ac:dyDescent="0.3">
      <c r="A19" s="4"/>
      <c r="B19" s="18"/>
      <c r="C19" s="72"/>
      <c r="D19" s="72"/>
      <c r="E19" s="72"/>
      <c r="F19" s="18"/>
      <c r="G19" s="18"/>
      <c r="H19" s="18"/>
      <c r="I19" s="18"/>
      <c r="J19" s="18"/>
      <c r="K19" s="4"/>
      <c r="L19" s="4"/>
      <c r="M19" s="4"/>
      <c r="N19" s="27">
        <f>SUM(N16:N18)</f>
        <v>0</v>
      </c>
      <c r="O19" s="79"/>
    </row>
    <row r="20" spans="1:15" customFormat="1" ht="15" customHeight="1" x14ac:dyDescent="0.25">
      <c r="A20" s="4"/>
      <c r="B20" s="4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4"/>
      <c r="O20" s="79"/>
    </row>
    <row r="21" spans="1:15" customFormat="1" ht="15.75" customHeight="1" thickBot="1" x14ac:dyDescent="0.3">
      <c r="A21" s="4"/>
      <c r="B21" s="4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4"/>
      <c r="O21" s="47"/>
    </row>
    <row r="22" spans="1:15" customFormat="1" ht="29.25" customHeight="1" thickBot="1" x14ac:dyDescent="0.3">
      <c r="A22" s="472" t="s">
        <v>6</v>
      </c>
      <c r="B22" s="472" t="s">
        <v>8</v>
      </c>
      <c r="C22" s="582" t="s">
        <v>37</v>
      </c>
      <c r="D22" s="583"/>
      <c r="E22" s="75"/>
      <c r="F22" s="460" t="s">
        <v>40</v>
      </c>
      <c r="G22" s="584"/>
      <c r="H22" s="461"/>
      <c r="I22" s="20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80" t="s">
        <v>11</v>
      </c>
    </row>
    <row r="23" spans="1:15" customFormat="1" ht="15.75" thickBot="1" x14ac:dyDescent="0.3">
      <c r="A23" s="473"/>
      <c r="B23" s="473"/>
      <c r="C23" s="70" t="s">
        <v>38</v>
      </c>
      <c r="D23" s="70" t="s">
        <v>39</v>
      </c>
      <c r="E23" s="70"/>
      <c r="F23" s="24" t="s">
        <v>0</v>
      </c>
      <c r="G23" s="107" t="s">
        <v>1</v>
      </c>
      <c r="H23" s="24"/>
      <c r="I23" s="24"/>
      <c r="J23" s="451"/>
      <c r="K23" s="451"/>
      <c r="L23" s="451"/>
      <c r="M23" s="451"/>
      <c r="N23" s="451"/>
      <c r="O23" s="81"/>
    </row>
    <row r="24" spans="1:15" customFormat="1" ht="15" customHeight="1" x14ac:dyDescent="0.25">
      <c r="A24" s="21"/>
      <c r="B24" s="7"/>
      <c r="C24" s="56">
        <v>0</v>
      </c>
      <c r="D24" s="56">
        <v>0</v>
      </c>
      <c r="E24" s="55"/>
      <c r="F24" s="8">
        <v>0</v>
      </c>
      <c r="G24" s="8">
        <v>0</v>
      </c>
      <c r="H24" s="9">
        <f>G24-F24+1</f>
        <v>1</v>
      </c>
      <c r="I24" s="9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customFormat="1" ht="15.75" customHeight="1" x14ac:dyDescent="0.25">
      <c r="A25" s="21"/>
      <c r="B25" s="7"/>
      <c r="C25" s="7"/>
      <c r="D25" s="7"/>
      <c r="E25" s="7"/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customFormat="1" ht="15.75" thickBot="1" x14ac:dyDescent="0.3">
      <c r="A26" s="21"/>
      <c r="B26" s="7"/>
      <c r="C26" s="7"/>
      <c r="D26" s="7"/>
      <c r="E26" s="7"/>
      <c r="F26" s="8"/>
      <c r="G26" s="8"/>
      <c r="H26" s="9">
        <f>G26-F26+1</f>
        <v>1</v>
      </c>
      <c r="I26" s="9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customFormat="1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79"/>
    </row>
    <row r="28" spans="1:15" customFormat="1" ht="15.75" thickBot="1" x14ac:dyDescent="0.3">
      <c r="B28" s="1"/>
      <c r="C28" s="1"/>
      <c r="D28" s="1"/>
      <c r="E28" s="1"/>
      <c r="F28" s="1"/>
      <c r="G28" s="1"/>
      <c r="H28" s="1"/>
      <c r="I28" s="1"/>
      <c r="J28" s="1"/>
      <c r="O28" s="82"/>
    </row>
    <row r="29" spans="1:15" customFormat="1" ht="21.75" thickBot="1" x14ac:dyDescent="0.4">
      <c r="B29" s="1"/>
      <c r="C29" s="1"/>
      <c r="D29" s="1"/>
      <c r="E29" s="1"/>
      <c r="F29" s="1"/>
      <c r="G29" s="1"/>
      <c r="H29" s="1"/>
      <c r="I29" s="1"/>
      <c r="J29" s="1"/>
      <c r="K29" s="579" t="s">
        <v>26</v>
      </c>
      <c r="L29" s="580"/>
      <c r="M29" s="581"/>
      <c r="N29" s="175">
        <f>N27+N19+N11</f>
        <v>0</v>
      </c>
      <c r="O29" s="82"/>
    </row>
  </sheetData>
  <mergeCells count="30">
    <mergeCell ref="N22:N23"/>
    <mergeCell ref="K29:M29"/>
    <mergeCell ref="C20:M21"/>
    <mergeCell ref="A22:A23"/>
    <mergeCell ref="B22:B23"/>
    <mergeCell ref="C22:D22"/>
    <mergeCell ref="F22:H22"/>
    <mergeCell ref="J22:J23"/>
    <mergeCell ref="K22:K23"/>
    <mergeCell ref="L22:L23"/>
    <mergeCell ref="M22:M23"/>
    <mergeCell ref="M14:M15"/>
    <mergeCell ref="N14:N15"/>
    <mergeCell ref="C4:M4"/>
    <mergeCell ref="C5:D5"/>
    <mergeCell ref="F5:G5"/>
    <mergeCell ref="J5:J6"/>
    <mergeCell ref="K5:K6"/>
    <mergeCell ref="L5:L6"/>
    <mergeCell ref="M5:M6"/>
    <mergeCell ref="C14:D14"/>
    <mergeCell ref="F14:G14"/>
    <mergeCell ref="J14:J15"/>
    <mergeCell ref="K14:K15"/>
    <mergeCell ref="L14:L15"/>
    <mergeCell ref="A1:B1"/>
    <mergeCell ref="A2:B2"/>
    <mergeCell ref="A3:N3"/>
    <mergeCell ref="N5:N6"/>
    <mergeCell ref="C12:M13"/>
  </mergeCells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8"/>
  <sheetViews>
    <sheetView topLeftCell="A7" zoomScale="110" zoomScaleNormal="110" workbookViewId="0">
      <selection activeCell="G7" sqref="G7"/>
    </sheetView>
  </sheetViews>
  <sheetFormatPr baseColWidth="10" defaultColWidth="11.42578125" defaultRowHeight="15" x14ac:dyDescent="0.25"/>
  <cols>
    <col min="1" max="1" width="3.5703125" customWidth="1"/>
    <col min="2" max="2" width="34.28515625" style="1" customWidth="1"/>
    <col min="3" max="4" width="9.42578125" style="1" customWidth="1"/>
    <col min="5" max="5" width="4.7109375" style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21.7109375" style="82" customWidth="1"/>
  </cols>
  <sheetData>
    <row r="1" spans="1:15" x14ac:dyDescent="0.25">
      <c r="A1" s="554" t="s">
        <v>46</v>
      </c>
      <c r="B1" s="554"/>
      <c r="M1" t="s">
        <v>66</v>
      </c>
      <c r="O1" s="246" t="s">
        <v>71</v>
      </c>
    </row>
    <row r="2" spans="1:15" x14ac:dyDescent="0.25">
      <c r="A2" s="554" t="s">
        <v>47</v>
      </c>
      <c r="B2" s="554"/>
    </row>
    <row r="3" spans="1:15" ht="34.5" customHeight="1" thickBot="1" x14ac:dyDescent="0.55000000000000004">
      <c r="A3" s="590" t="s">
        <v>42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</row>
    <row r="4" spans="1:15" ht="21.7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ht="17.25" customHeight="1" x14ac:dyDescent="0.25">
      <c r="A8" s="6">
        <v>1</v>
      </c>
      <c r="B8" s="238" t="s">
        <v>125</v>
      </c>
      <c r="C8" s="56">
        <v>45650</v>
      </c>
      <c r="D8" s="56">
        <v>45674</v>
      </c>
      <c r="E8" s="9">
        <f t="shared" ref="E8:E9" si="0">D8-C8+1</f>
        <v>25</v>
      </c>
      <c r="F8" s="56">
        <v>45658</v>
      </c>
      <c r="G8" s="13">
        <v>45674</v>
      </c>
      <c r="H8" s="9">
        <f t="shared" ref="H8:H9" si="1">G8-F8+1</f>
        <v>17</v>
      </c>
      <c r="I8" s="9">
        <f t="shared" ref="I8:I9" si="2">H8-3</f>
        <v>14</v>
      </c>
      <c r="J8" s="14">
        <v>5139</v>
      </c>
      <c r="K8" s="14">
        <f>J8/30</f>
        <v>171.3</v>
      </c>
      <c r="L8" s="15">
        <v>17</v>
      </c>
      <c r="M8" s="14">
        <f t="shared" ref="M8:M9" si="3">K8*L8</f>
        <v>2912.1000000000004</v>
      </c>
      <c r="N8" s="14">
        <f t="shared" ref="N8:N9" si="4">M8*0.75</f>
        <v>2184.0750000000003</v>
      </c>
      <c r="O8" s="17"/>
    </row>
    <row r="9" spans="1:15" ht="17.25" customHeight="1" thickBot="1" x14ac:dyDescent="0.3">
      <c r="A9" s="6">
        <v>2</v>
      </c>
      <c r="B9" s="238" t="s">
        <v>126</v>
      </c>
      <c r="C9" s="56">
        <v>45648</v>
      </c>
      <c r="D9" s="56">
        <v>45666</v>
      </c>
      <c r="E9" s="9">
        <f t="shared" si="0"/>
        <v>19</v>
      </c>
      <c r="F9" s="56">
        <v>45658</v>
      </c>
      <c r="G9" s="13">
        <v>45666</v>
      </c>
      <c r="H9" s="9">
        <f t="shared" si="1"/>
        <v>9</v>
      </c>
      <c r="I9" s="9">
        <f t="shared" si="2"/>
        <v>6</v>
      </c>
      <c r="J9" s="14">
        <v>18366</v>
      </c>
      <c r="K9" s="14">
        <f t="shared" ref="K9" si="5">J9/30</f>
        <v>612.20000000000005</v>
      </c>
      <c r="L9" s="15">
        <v>9</v>
      </c>
      <c r="M9" s="14">
        <f t="shared" si="3"/>
        <v>5509.8</v>
      </c>
      <c r="N9" s="14">
        <f t="shared" si="4"/>
        <v>4132.3500000000004</v>
      </c>
      <c r="O9" s="247"/>
    </row>
    <row r="10" spans="1:15" ht="15.75" thickBot="1" x14ac:dyDescent="0.3">
      <c r="A10" s="4"/>
      <c r="B10" s="239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6316.4250000000011</v>
      </c>
      <c r="O10" s="79"/>
    </row>
    <row r="11" spans="1:15" ht="11.25" customHeight="1" x14ac:dyDescent="0.25">
      <c r="A11" s="4"/>
      <c r="B11" s="240"/>
      <c r="C11" s="476" t="s">
        <v>13</v>
      </c>
      <c r="D11" s="477"/>
      <c r="E11" s="477"/>
      <c r="F11" s="477"/>
      <c r="G11" s="477"/>
      <c r="H11" s="477"/>
      <c r="I11" s="477"/>
      <c r="J11" s="477"/>
      <c r="K11" s="477"/>
      <c r="L11" s="477"/>
      <c r="M11" s="478"/>
      <c r="N11" s="4"/>
      <c r="O11" s="79"/>
    </row>
    <row r="12" spans="1:15" ht="15.75" customHeight="1" thickBot="1" x14ac:dyDescent="0.3">
      <c r="A12" s="4"/>
      <c r="B12" s="240"/>
      <c r="C12" s="479"/>
      <c r="D12" s="480"/>
      <c r="E12" s="480"/>
      <c r="F12" s="480"/>
      <c r="G12" s="480"/>
      <c r="H12" s="480"/>
      <c r="I12" s="480"/>
      <c r="J12" s="480"/>
      <c r="K12" s="480"/>
      <c r="L12" s="480"/>
      <c r="M12" s="481"/>
      <c r="N12" s="4"/>
      <c r="O12" s="47"/>
    </row>
    <row r="13" spans="1:15" ht="33" customHeight="1" thickBot="1" x14ac:dyDescent="0.3">
      <c r="A13" s="105" t="s">
        <v>6</v>
      </c>
      <c r="B13" s="241" t="s">
        <v>8</v>
      </c>
      <c r="C13" s="582" t="s">
        <v>37</v>
      </c>
      <c r="D13" s="583"/>
      <c r="E13" s="75"/>
      <c r="F13" s="585" t="s">
        <v>40</v>
      </c>
      <c r="G13" s="586"/>
      <c r="H13" s="100" t="s">
        <v>7</v>
      </c>
      <c r="I13" s="20"/>
      <c r="J13" s="450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80" t="s">
        <v>11</v>
      </c>
    </row>
    <row r="14" spans="1:15" ht="15.75" thickBot="1" x14ac:dyDescent="0.3">
      <c r="A14" s="106"/>
      <c r="B14" s="242"/>
      <c r="C14" s="70" t="s">
        <v>38</v>
      </c>
      <c r="D14" s="70" t="s">
        <v>39</v>
      </c>
      <c r="E14" s="70"/>
      <c r="F14" s="5" t="s">
        <v>0</v>
      </c>
      <c r="G14" s="25" t="s">
        <v>1</v>
      </c>
      <c r="H14" s="24"/>
      <c r="I14" s="24"/>
      <c r="J14" s="451"/>
      <c r="K14" s="451"/>
      <c r="L14" s="451"/>
      <c r="M14" s="451"/>
      <c r="N14" s="451"/>
      <c r="O14" s="81"/>
    </row>
    <row r="15" spans="1:15" x14ac:dyDescent="0.25">
      <c r="A15" s="21"/>
      <c r="B15" s="243"/>
      <c r="C15" s="56">
        <v>0</v>
      </c>
      <c r="D15" s="56">
        <v>0</v>
      </c>
      <c r="E15" s="76">
        <f>D15-C15+1</f>
        <v>1</v>
      </c>
      <c r="F15" s="2">
        <v>0</v>
      </c>
      <c r="G15" s="2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22"/>
    </row>
    <row r="16" spans="1:15" x14ac:dyDescent="0.25">
      <c r="A16" s="21">
        <v>1</v>
      </c>
      <c r="B16" s="238"/>
      <c r="C16" s="56"/>
      <c r="D16" s="56"/>
      <c r="E16" s="76">
        <f>D16-C16+1</f>
        <v>1</v>
      </c>
      <c r="F16" s="74"/>
      <c r="G16" s="8"/>
      <c r="H16" s="9">
        <f>G16-F16+1</f>
        <v>1</v>
      </c>
      <c r="I16" s="9"/>
      <c r="J16" s="10"/>
      <c r="K16" s="10">
        <f>J16/30</f>
        <v>0</v>
      </c>
      <c r="L16" s="9"/>
      <c r="M16" s="10">
        <f>K16*L16</f>
        <v>0</v>
      </c>
      <c r="N16" s="10">
        <f>M16*0.9</f>
        <v>0</v>
      </c>
      <c r="O16" s="22"/>
    </row>
    <row r="17" spans="1:16" ht="15.75" thickBot="1" x14ac:dyDescent="0.3">
      <c r="A17" s="21">
        <v>1</v>
      </c>
      <c r="B17" s="238"/>
      <c r="C17" s="56"/>
      <c r="D17" s="56"/>
      <c r="E17" s="76"/>
      <c r="F17" s="74"/>
      <c r="G17" s="8"/>
      <c r="H17" s="9"/>
      <c r="I17" s="9"/>
      <c r="J17" s="10"/>
      <c r="K17" s="10"/>
      <c r="L17" s="9"/>
      <c r="M17" s="10"/>
      <c r="N17" s="10"/>
      <c r="O17" s="22"/>
      <c r="P17" s="187"/>
    </row>
    <row r="18" spans="1:16" ht="15.75" thickBot="1" x14ac:dyDescent="0.3">
      <c r="A18" s="4"/>
      <c r="B18" s="18"/>
      <c r="C18" s="72"/>
      <c r="D18" s="72"/>
      <c r="E18" s="72"/>
      <c r="F18" s="18"/>
      <c r="G18" s="18"/>
      <c r="H18" s="18"/>
      <c r="I18" s="18"/>
      <c r="J18" s="18"/>
      <c r="K18" s="4"/>
      <c r="L18" s="4"/>
      <c r="M18" s="4"/>
      <c r="N18" s="27">
        <f>SUM(N15:N17)</f>
        <v>0</v>
      </c>
      <c r="O18" s="79"/>
    </row>
    <row r="19" spans="1:16" ht="10.5" customHeight="1" x14ac:dyDescent="0.25">
      <c r="A19" s="4"/>
      <c r="B19" s="4"/>
      <c r="C19" s="476" t="s">
        <v>25</v>
      </c>
      <c r="D19" s="477"/>
      <c r="E19" s="477"/>
      <c r="F19" s="477"/>
      <c r="G19" s="477"/>
      <c r="H19" s="477"/>
      <c r="I19" s="477"/>
      <c r="J19" s="477"/>
      <c r="K19" s="477"/>
      <c r="L19" s="477"/>
      <c r="M19" s="478"/>
      <c r="N19" s="4"/>
      <c r="O19" s="79"/>
    </row>
    <row r="20" spans="1:16" ht="15.75" customHeight="1" thickBot="1" x14ac:dyDescent="0.3">
      <c r="A20" s="4"/>
      <c r="B20" s="4"/>
      <c r="C20" s="479"/>
      <c r="D20" s="480"/>
      <c r="E20" s="480"/>
      <c r="F20" s="480"/>
      <c r="G20" s="480"/>
      <c r="H20" s="480"/>
      <c r="I20" s="480"/>
      <c r="J20" s="480"/>
      <c r="K20" s="480"/>
      <c r="L20" s="480"/>
      <c r="M20" s="481"/>
      <c r="N20" s="4"/>
      <c r="O20" s="47"/>
    </row>
    <row r="21" spans="1:16" ht="32.25" customHeight="1" thickBot="1" x14ac:dyDescent="0.3">
      <c r="A21" s="472" t="s">
        <v>6</v>
      </c>
      <c r="B21" s="472" t="s">
        <v>8</v>
      </c>
      <c r="C21" s="582" t="s">
        <v>37</v>
      </c>
      <c r="D21" s="583"/>
      <c r="E21" s="75"/>
      <c r="F21" s="460" t="s">
        <v>40</v>
      </c>
      <c r="G21" s="584"/>
      <c r="H21" s="461"/>
      <c r="I21" s="20"/>
      <c r="J21" s="450" t="s">
        <v>2</v>
      </c>
      <c r="K21" s="450" t="s">
        <v>3</v>
      </c>
      <c r="L21" s="450" t="s">
        <v>4</v>
      </c>
      <c r="M21" s="450" t="s">
        <v>5</v>
      </c>
      <c r="N21" s="450" t="s">
        <v>10</v>
      </c>
      <c r="O21" s="80" t="s">
        <v>11</v>
      </c>
    </row>
    <row r="22" spans="1:16" ht="15.75" thickBot="1" x14ac:dyDescent="0.3">
      <c r="A22" s="473"/>
      <c r="B22" s="473"/>
      <c r="C22" s="70" t="s">
        <v>38</v>
      </c>
      <c r="D22" s="70" t="s">
        <v>39</v>
      </c>
      <c r="E22" s="70"/>
      <c r="F22" s="24" t="s">
        <v>0</v>
      </c>
      <c r="G22" s="107" t="s">
        <v>1</v>
      </c>
      <c r="H22" s="24"/>
      <c r="I22" s="24"/>
      <c r="J22" s="451"/>
      <c r="K22" s="451"/>
      <c r="L22" s="451"/>
      <c r="M22" s="451"/>
      <c r="N22" s="451"/>
      <c r="O22" s="81"/>
    </row>
    <row r="23" spans="1:16" x14ac:dyDescent="0.25">
      <c r="A23" s="21"/>
      <c r="B23" s="7"/>
      <c r="C23" s="56">
        <v>0</v>
      </c>
      <c r="D23" s="56">
        <v>0</v>
      </c>
      <c r="E23" s="55"/>
      <c r="F23" s="8">
        <v>0</v>
      </c>
      <c r="G23" s="8">
        <v>0</v>
      </c>
      <c r="H23" s="9">
        <f>G23-F23+1</f>
        <v>1</v>
      </c>
      <c r="I23" s="9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22"/>
    </row>
    <row r="24" spans="1:16" x14ac:dyDescent="0.25">
      <c r="A24" s="21">
        <v>1</v>
      </c>
      <c r="B24" s="130"/>
      <c r="C24" s="7"/>
      <c r="D24" s="7"/>
      <c r="E24" s="7"/>
      <c r="F24" s="8"/>
      <c r="G24" s="8"/>
      <c r="H24" s="9">
        <f>G24-F24+1</f>
        <v>1</v>
      </c>
      <c r="I24" s="9"/>
      <c r="J24" s="10"/>
      <c r="K24" s="10">
        <f>J24/30</f>
        <v>0</v>
      </c>
      <c r="L24" s="9"/>
      <c r="M24" s="10">
        <f>K24*L24</f>
        <v>0</v>
      </c>
      <c r="N24" s="10">
        <f>M24*0.9</f>
        <v>0</v>
      </c>
      <c r="O24" s="368"/>
    </row>
    <row r="25" spans="1:16" ht="15.75" thickBot="1" x14ac:dyDescent="0.3">
      <c r="A25" s="21"/>
      <c r="B25" s="7"/>
      <c r="C25" s="7"/>
      <c r="D25" s="7"/>
      <c r="E25" s="7"/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6" ht="15" customHeight="1" thickBot="1" x14ac:dyDescent="0.3">
      <c r="A26" s="4"/>
      <c r="B26" s="18"/>
      <c r="C26" s="18"/>
      <c r="D26" s="18"/>
      <c r="E26" s="18"/>
      <c r="F26" s="18"/>
      <c r="G26" s="18"/>
      <c r="H26" s="18"/>
      <c r="I26" s="18"/>
      <c r="J26" s="18"/>
      <c r="K26" s="4"/>
      <c r="L26" s="4"/>
      <c r="M26" s="4"/>
      <c r="N26" s="27">
        <f>SUM(N23:N25)</f>
        <v>0</v>
      </c>
      <c r="O26" s="79"/>
    </row>
    <row r="27" spans="1:16" ht="12" customHeight="1" thickBot="1" x14ac:dyDescent="0.3"/>
    <row r="28" spans="1:16" ht="15.75" thickBot="1" x14ac:dyDescent="0.3">
      <c r="K28" s="579" t="s">
        <v>26</v>
      </c>
      <c r="L28" s="580"/>
      <c r="M28" s="581"/>
      <c r="N28" s="172">
        <f>N26+N18+N10</f>
        <v>6316.4250000000011</v>
      </c>
    </row>
  </sheetData>
  <mergeCells count="30">
    <mergeCell ref="A1:B1"/>
    <mergeCell ref="A2:B2"/>
    <mergeCell ref="N21:N22"/>
    <mergeCell ref="K28:M28"/>
    <mergeCell ref="N13:N14"/>
    <mergeCell ref="C19:M20"/>
    <mergeCell ref="A21:A22"/>
    <mergeCell ref="B21:B22"/>
    <mergeCell ref="C21:D21"/>
    <mergeCell ref="F21:H21"/>
    <mergeCell ref="J21:J22"/>
    <mergeCell ref="K21:K22"/>
    <mergeCell ref="L21:L22"/>
    <mergeCell ref="M21:M22"/>
    <mergeCell ref="C11:M12"/>
    <mergeCell ref="C13:D13"/>
    <mergeCell ref="F13:G13"/>
    <mergeCell ref="J13:J14"/>
    <mergeCell ref="K13:K14"/>
    <mergeCell ref="L13:L14"/>
    <mergeCell ref="M13:M14"/>
    <mergeCell ref="A3:O3"/>
    <mergeCell ref="C4:M4"/>
    <mergeCell ref="C5:D5"/>
    <mergeCell ref="F5:G5"/>
    <mergeCell ref="J5:J6"/>
    <mergeCell ref="K5:K6"/>
    <mergeCell ref="L5:L6"/>
    <mergeCell ref="M5:M6"/>
    <mergeCell ref="N5:N6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9"/>
  <sheetViews>
    <sheetView view="pageBreakPreview" zoomScale="120" zoomScaleNormal="100" zoomScaleSheetLayoutView="120" workbookViewId="0">
      <selection activeCell="B16" sqref="B16"/>
    </sheetView>
  </sheetViews>
  <sheetFormatPr baseColWidth="10" defaultColWidth="11.42578125" defaultRowHeight="15" x14ac:dyDescent="0.25"/>
  <cols>
    <col min="1" max="1" width="3.5703125" customWidth="1"/>
    <col min="2" max="2" width="31.28515625" style="1" bestFit="1" customWidth="1"/>
    <col min="3" max="4" width="9.42578125" style="1" customWidth="1"/>
    <col min="5" max="5" width="4.140625" style="1" bestFit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18.28515625" style="82" customWidth="1"/>
  </cols>
  <sheetData>
    <row r="1" spans="1:15" x14ac:dyDescent="0.25">
      <c r="A1" s="554" t="s">
        <v>46</v>
      </c>
      <c r="B1" s="554"/>
      <c r="M1" t="s">
        <v>63</v>
      </c>
      <c r="O1" s="82" t="s">
        <v>74</v>
      </c>
    </row>
    <row r="2" spans="1:15" x14ac:dyDescent="0.25">
      <c r="A2" s="503" t="s">
        <v>47</v>
      </c>
      <c r="B2" s="503"/>
    </row>
    <row r="3" spans="1:15" ht="28.9" customHeight="1" x14ac:dyDescent="0.25">
      <c r="D3" s="591" t="s">
        <v>43</v>
      </c>
      <c r="E3" s="591"/>
      <c r="F3" s="591"/>
      <c r="G3" s="591"/>
      <c r="H3" s="591"/>
      <c r="I3" s="591"/>
      <c r="J3" s="591"/>
      <c r="K3" s="591"/>
      <c r="N3" s="166"/>
    </row>
    <row r="4" spans="1:15" ht="14.25" customHeight="1" thickBot="1" x14ac:dyDescent="0.5">
      <c r="A4" s="550"/>
      <c r="B4" s="550"/>
      <c r="C4" s="550"/>
      <c r="D4" s="550"/>
      <c r="E4" s="550"/>
      <c r="F4" s="550"/>
      <c r="G4" s="550"/>
      <c r="H4" s="550"/>
      <c r="I4" s="550"/>
      <c r="J4" s="550"/>
      <c r="K4" s="550"/>
      <c r="L4" s="550"/>
      <c r="M4" s="550"/>
      <c r="N4" s="550"/>
      <c r="O4" s="550"/>
    </row>
    <row r="5" spans="1:15" ht="25.5" customHeight="1" thickBot="1" x14ac:dyDescent="0.3">
      <c r="A5" s="4"/>
      <c r="B5" s="4"/>
      <c r="C5" s="487" t="s">
        <v>17</v>
      </c>
      <c r="D5" s="488"/>
      <c r="E5" s="488"/>
      <c r="F5" s="488"/>
      <c r="G5" s="488"/>
      <c r="H5" s="488"/>
      <c r="I5" s="488"/>
      <c r="J5" s="488"/>
      <c r="K5" s="488"/>
      <c r="L5" s="488"/>
      <c r="M5" s="489"/>
      <c r="N5" s="4"/>
      <c r="O5" s="79"/>
    </row>
    <row r="6" spans="1:15" ht="27.75" customHeight="1" thickBot="1" x14ac:dyDescent="0.3">
      <c r="A6" s="101" t="s">
        <v>6</v>
      </c>
      <c r="B6" s="105" t="s">
        <v>8</v>
      </c>
      <c r="C6" s="582" t="s">
        <v>59</v>
      </c>
      <c r="D6" s="587"/>
      <c r="E6" s="77"/>
      <c r="F6" s="585" t="s">
        <v>40</v>
      </c>
      <c r="G6" s="586"/>
      <c r="H6" s="103" t="s">
        <v>7</v>
      </c>
      <c r="I6" s="100"/>
      <c r="J6" s="450" t="s">
        <v>2</v>
      </c>
      <c r="K6" s="450" t="s">
        <v>3</v>
      </c>
      <c r="L6" s="450" t="s">
        <v>4</v>
      </c>
      <c r="M6" s="450" t="s">
        <v>5</v>
      </c>
      <c r="N6" s="450" t="s">
        <v>9</v>
      </c>
      <c r="O6" s="80" t="s">
        <v>11</v>
      </c>
    </row>
    <row r="7" spans="1:15" ht="15.75" thickBot="1" x14ac:dyDescent="0.3">
      <c r="A7" s="102"/>
      <c r="B7" s="106"/>
      <c r="C7" s="70" t="s">
        <v>38</v>
      </c>
      <c r="D7" s="70" t="s">
        <v>39</v>
      </c>
      <c r="E7" s="78"/>
      <c r="F7" s="5" t="s">
        <v>0</v>
      </c>
      <c r="G7" s="25" t="s">
        <v>1</v>
      </c>
      <c r="H7" s="104"/>
      <c r="I7" s="24"/>
      <c r="J7" s="451"/>
      <c r="K7" s="451"/>
      <c r="L7" s="451"/>
      <c r="M7" s="451"/>
      <c r="N7" s="451"/>
      <c r="O7" s="81"/>
    </row>
    <row r="8" spans="1:15" x14ac:dyDescent="0.25">
      <c r="A8" s="6"/>
      <c r="B8" s="7"/>
      <c r="C8" s="55"/>
      <c r="D8" s="55"/>
      <c r="E8" s="55"/>
      <c r="F8" s="8">
        <v>0</v>
      </c>
      <c r="G8" s="8">
        <v>0</v>
      </c>
      <c r="H8" s="9">
        <f>G8-F8+1</f>
        <v>1</v>
      </c>
      <c r="I8" s="9">
        <f>H8-3</f>
        <v>-2</v>
      </c>
      <c r="J8" s="10">
        <v>0</v>
      </c>
      <c r="K8" s="10">
        <f>J8/30</f>
        <v>0</v>
      </c>
      <c r="L8" s="9"/>
      <c r="M8" s="10">
        <f>K8*L8</f>
        <v>0</v>
      </c>
      <c r="N8" s="10">
        <f>M8*0.75</f>
        <v>0</v>
      </c>
      <c r="O8" s="11"/>
    </row>
    <row r="9" spans="1:15" x14ac:dyDescent="0.25">
      <c r="A9" s="6">
        <v>1</v>
      </c>
      <c r="B9" s="129"/>
      <c r="C9" s="56"/>
      <c r="D9" s="56"/>
      <c r="E9" s="12"/>
      <c r="F9" s="13"/>
      <c r="G9" s="13"/>
      <c r="H9" s="9">
        <f>G9-F9+1</f>
        <v>1</v>
      </c>
      <c r="I9" s="9">
        <f>H9-3</f>
        <v>-2</v>
      </c>
      <c r="J9" s="14"/>
      <c r="K9" s="14">
        <f>J9/30</f>
        <v>0</v>
      </c>
      <c r="L9" s="15"/>
      <c r="M9" s="14">
        <f>K9*L9</f>
        <v>0</v>
      </c>
      <c r="N9" s="14">
        <f>M9*0.75</f>
        <v>0</v>
      </c>
      <c r="O9" s="17"/>
    </row>
    <row r="10" spans="1:15" ht="15.75" thickBot="1" x14ac:dyDescent="0.3">
      <c r="A10" s="6">
        <v>2</v>
      </c>
      <c r="B10" s="129"/>
      <c r="C10" s="56"/>
      <c r="D10" s="56"/>
      <c r="E10" s="12"/>
      <c r="F10" s="13"/>
      <c r="G10" s="13"/>
      <c r="H10" s="9">
        <f>G10-F10+1</f>
        <v>1</v>
      </c>
      <c r="I10" s="9">
        <f>H10-3</f>
        <v>-2</v>
      </c>
      <c r="J10" s="14"/>
      <c r="K10" s="14">
        <f>J10/30</f>
        <v>0</v>
      </c>
      <c r="L10" s="15"/>
      <c r="M10" s="14">
        <f>K10*L10</f>
        <v>0</v>
      </c>
      <c r="N10" s="14">
        <f>M10*0.75</f>
        <v>0</v>
      </c>
      <c r="O10" s="17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SUM(N8:N10)</f>
        <v>0</v>
      </c>
      <c r="O11" s="79"/>
    </row>
    <row r="12" spans="1:15" ht="15" customHeight="1" x14ac:dyDescent="0.25">
      <c r="A12" s="4"/>
      <c r="B12" s="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"/>
      <c r="O12" s="79"/>
    </row>
    <row r="13" spans="1:15" ht="15.75" customHeight="1" thickBot="1" x14ac:dyDescent="0.3">
      <c r="A13" s="4"/>
      <c r="B13" s="4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"/>
      <c r="O13" s="47"/>
    </row>
    <row r="14" spans="1:15" ht="33" customHeight="1" thickBot="1" x14ac:dyDescent="0.3">
      <c r="A14" s="105" t="s">
        <v>6</v>
      </c>
      <c r="B14" s="105" t="s">
        <v>8</v>
      </c>
      <c r="C14" s="582" t="s">
        <v>37</v>
      </c>
      <c r="D14" s="583"/>
      <c r="E14" s="75"/>
      <c r="F14" s="585" t="s">
        <v>40</v>
      </c>
      <c r="G14" s="586"/>
      <c r="H14" s="10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80" t="s">
        <v>11</v>
      </c>
    </row>
    <row r="15" spans="1:15" ht="15.75" thickBot="1" x14ac:dyDescent="0.3">
      <c r="A15" s="106"/>
      <c r="B15" s="106"/>
      <c r="C15" s="70" t="s">
        <v>38</v>
      </c>
      <c r="D15" s="70" t="s">
        <v>39</v>
      </c>
      <c r="E15" s="70"/>
      <c r="F15" s="5" t="s">
        <v>0</v>
      </c>
      <c r="G15" s="25" t="s">
        <v>1</v>
      </c>
      <c r="H15" s="24"/>
      <c r="I15" s="24"/>
      <c r="J15" s="451"/>
      <c r="K15" s="451"/>
      <c r="L15" s="451"/>
      <c r="M15" s="451"/>
      <c r="N15" s="451"/>
      <c r="O15" s="81"/>
    </row>
    <row r="16" spans="1:15" x14ac:dyDescent="0.25">
      <c r="A16" s="21"/>
      <c r="B16" s="3"/>
      <c r="C16" s="56">
        <v>0</v>
      </c>
      <c r="D16" s="56">
        <v>0</v>
      </c>
      <c r="E16" s="76">
        <f>D16-C16+1</f>
        <v>1</v>
      </c>
      <c r="F16" s="2">
        <v>0</v>
      </c>
      <c r="G16" s="2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22"/>
    </row>
    <row r="17" spans="1:15" x14ac:dyDescent="0.25">
      <c r="A17" s="21"/>
      <c r="B17" s="7"/>
      <c r="C17" s="71"/>
      <c r="D17" s="71"/>
      <c r="E17" s="76">
        <f>D17-C17+1</f>
        <v>1</v>
      </c>
      <c r="F17" s="8"/>
      <c r="G17" s="8"/>
      <c r="H17" s="9">
        <f>G17-F17+1</f>
        <v>1</v>
      </c>
      <c r="I17" s="9"/>
      <c r="J17" s="10">
        <v>0</v>
      </c>
      <c r="K17" s="10">
        <f>J17/30</f>
        <v>0</v>
      </c>
      <c r="L17" s="9">
        <v>0</v>
      </c>
      <c r="M17" s="10">
        <f>K17*L17</f>
        <v>0</v>
      </c>
      <c r="N17" s="10">
        <f>M17*0.9</f>
        <v>0</v>
      </c>
      <c r="O17" s="22"/>
    </row>
    <row r="18" spans="1:15" ht="15.75" thickBot="1" x14ac:dyDescent="0.3">
      <c r="A18" s="21"/>
      <c r="B18" s="73"/>
      <c r="C18" s="56"/>
      <c r="D18" s="56"/>
      <c r="E18" s="76">
        <f>D18-C18+1</f>
        <v>1</v>
      </c>
      <c r="F18" s="74"/>
      <c r="G18" s="8"/>
      <c r="H18" s="9">
        <f>G18-F18+1</f>
        <v>1</v>
      </c>
      <c r="I18" s="9"/>
      <c r="J18" s="10">
        <v>0</v>
      </c>
      <c r="K18" s="10">
        <f>J18/30</f>
        <v>0</v>
      </c>
      <c r="L18" s="9">
        <v>0</v>
      </c>
      <c r="M18" s="10">
        <f>K18*L18</f>
        <v>0</v>
      </c>
      <c r="N18" s="10">
        <f>M18*0.9</f>
        <v>0</v>
      </c>
      <c r="O18" s="22"/>
    </row>
    <row r="19" spans="1:15" ht="15.75" thickBot="1" x14ac:dyDescent="0.3">
      <c r="A19" s="4"/>
      <c r="B19" s="18"/>
      <c r="C19" s="72"/>
      <c r="D19" s="72"/>
      <c r="E19" s="72"/>
      <c r="F19" s="18"/>
      <c r="G19" s="18"/>
      <c r="H19" s="18"/>
      <c r="I19" s="18"/>
      <c r="J19" s="18"/>
      <c r="K19" s="4"/>
      <c r="L19" s="4"/>
      <c r="M19" s="4"/>
      <c r="N19" s="27">
        <f>SUM(N16:N18)</f>
        <v>0</v>
      </c>
      <c r="O19" s="79"/>
    </row>
    <row r="20" spans="1:15" ht="15" customHeight="1" x14ac:dyDescent="0.25">
      <c r="A20" s="4"/>
      <c r="B20" s="4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4"/>
      <c r="O20" s="79"/>
    </row>
    <row r="21" spans="1:15" ht="15.75" customHeight="1" thickBot="1" x14ac:dyDescent="0.3">
      <c r="A21" s="4"/>
      <c r="B21" s="4"/>
      <c r="C21" s="479"/>
      <c r="D21" s="480"/>
      <c r="E21" s="480"/>
      <c r="F21" s="480"/>
      <c r="G21" s="480"/>
      <c r="H21" s="480"/>
      <c r="I21" s="480"/>
      <c r="J21" s="480"/>
      <c r="K21" s="480"/>
      <c r="L21" s="480"/>
      <c r="M21" s="481"/>
      <c r="N21" s="4"/>
      <c r="O21" s="47"/>
    </row>
    <row r="22" spans="1:15" ht="32.25" customHeight="1" thickBot="1" x14ac:dyDescent="0.3">
      <c r="A22" s="472" t="s">
        <v>6</v>
      </c>
      <c r="B22" s="472" t="s">
        <v>8</v>
      </c>
      <c r="C22" s="582" t="s">
        <v>37</v>
      </c>
      <c r="D22" s="583"/>
      <c r="E22" s="75"/>
      <c r="F22" s="460" t="s">
        <v>40</v>
      </c>
      <c r="G22" s="584"/>
      <c r="H22" s="461"/>
      <c r="I22" s="20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80" t="s">
        <v>11</v>
      </c>
    </row>
    <row r="23" spans="1:15" ht="15.75" thickBot="1" x14ac:dyDescent="0.3">
      <c r="A23" s="473"/>
      <c r="B23" s="473"/>
      <c r="C23" s="70" t="s">
        <v>38</v>
      </c>
      <c r="D23" s="70" t="s">
        <v>39</v>
      </c>
      <c r="E23" s="70"/>
      <c r="F23" s="24" t="s">
        <v>0</v>
      </c>
      <c r="G23" s="107" t="s">
        <v>1</v>
      </c>
      <c r="H23" s="24"/>
      <c r="I23" s="24"/>
      <c r="J23" s="451"/>
      <c r="K23" s="451"/>
      <c r="L23" s="451"/>
      <c r="M23" s="451"/>
      <c r="N23" s="451"/>
      <c r="O23" s="81"/>
    </row>
    <row r="24" spans="1:15" x14ac:dyDescent="0.25">
      <c r="A24" s="21"/>
      <c r="B24" s="7"/>
      <c r="C24" s="56">
        <v>0</v>
      </c>
      <c r="D24" s="56">
        <v>0</v>
      </c>
      <c r="E24" s="55"/>
      <c r="F24" s="8">
        <v>0</v>
      </c>
      <c r="G24" s="8">
        <v>0</v>
      </c>
      <c r="H24" s="9">
        <f>G24-F24+1</f>
        <v>1</v>
      </c>
      <c r="I24" s="9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x14ac:dyDescent="0.25">
      <c r="A25" s="21"/>
      <c r="B25" s="7"/>
      <c r="C25" s="7"/>
      <c r="D25" s="7"/>
      <c r="E25" s="7"/>
      <c r="F25" s="8"/>
      <c r="G25" s="8"/>
      <c r="H25" s="9">
        <f>G25-F25+1</f>
        <v>1</v>
      </c>
      <c r="I25" s="9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ht="15.75" thickBot="1" x14ac:dyDescent="0.3">
      <c r="A26" s="21"/>
      <c r="B26" s="7"/>
      <c r="C26" s="7"/>
      <c r="D26" s="7"/>
      <c r="E26" s="7"/>
      <c r="F26" s="8"/>
      <c r="G26" s="8"/>
      <c r="H26" s="9">
        <f>G26-F26+1</f>
        <v>1</v>
      </c>
      <c r="I26" s="9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79"/>
    </row>
    <row r="28" spans="1:15" ht="15.75" thickBot="1" x14ac:dyDescent="0.3"/>
    <row r="29" spans="1:15" ht="16.5" thickBot="1" x14ac:dyDescent="0.3">
      <c r="K29" s="579" t="s">
        <v>26</v>
      </c>
      <c r="L29" s="580"/>
      <c r="M29" s="581"/>
      <c r="N29" s="186">
        <f>N27+N19+N11</f>
        <v>0</v>
      </c>
    </row>
  </sheetData>
  <mergeCells count="31">
    <mergeCell ref="A1:B1"/>
    <mergeCell ref="A2:B2"/>
    <mergeCell ref="D3:K3"/>
    <mergeCell ref="A4:O4"/>
    <mergeCell ref="C5:M5"/>
    <mergeCell ref="M6:M7"/>
    <mergeCell ref="N6:N7"/>
    <mergeCell ref="C12:M13"/>
    <mergeCell ref="C14:D14"/>
    <mergeCell ref="F14:G14"/>
    <mergeCell ref="J14:J15"/>
    <mergeCell ref="K14:K15"/>
    <mergeCell ref="L14:L15"/>
    <mergeCell ref="M14:M15"/>
    <mergeCell ref="C6:D6"/>
    <mergeCell ref="F6:G6"/>
    <mergeCell ref="J6:J7"/>
    <mergeCell ref="K6:K7"/>
    <mergeCell ref="L6:L7"/>
    <mergeCell ref="N22:N23"/>
    <mergeCell ref="K29:M29"/>
    <mergeCell ref="N14:N15"/>
    <mergeCell ref="C20:M21"/>
    <mergeCell ref="A22:A23"/>
    <mergeCell ref="B22:B23"/>
    <mergeCell ref="C22:D22"/>
    <mergeCell ref="F22:H22"/>
    <mergeCell ref="J22:J23"/>
    <mergeCell ref="K22:K23"/>
    <mergeCell ref="L22:L23"/>
    <mergeCell ref="M22:M23"/>
  </mergeCells>
  <pageMargins left="0.70866141732283472" right="0.31496062992125984" top="0.74803149606299213" bottom="0.74803149606299213" header="0.31496062992125984" footer="0.31496062992125984"/>
  <pageSetup scale="8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8"/>
  <sheetViews>
    <sheetView topLeftCell="A10" zoomScale="120" zoomScaleNormal="120" workbookViewId="0">
      <selection activeCell="B25" sqref="B25"/>
    </sheetView>
  </sheetViews>
  <sheetFormatPr baseColWidth="10" defaultColWidth="11.42578125" defaultRowHeight="15" x14ac:dyDescent="0.25"/>
  <cols>
    <col min="1" max="1" width="3.5703125" customWidth="1"/>
    <col min="2" max="2" width="30.7109375" bestFit="1" customWidth="1"/>
    <col min="3" max="3" width="10.85546875" bestFit="1" customWidth="1"/>
    <col min="4" max="4" width="9.5703125" bestFit="1" customWidth="1"/>
    <col min="5" max="5" width="4.85546875" customWidth="1"/>
    <col min="6" max="7" width="8.7109375" customWidth="1"/>
    <col min="8" max="8" width="4.85546875" customWidth="1"/>
    <col min="9" max="9" width="4.5703125" customWidth="1"/>
    <col min="10" max="10" width="9.5703125" customWidth="1"/>
    <col min="11" max="11" width="8.85546875" customWidth="1"/>
    <col min="12" max="12" width="7.28515625" customWidth="1"/>
    <col min="13" max="13" width="12.28515625" customWidth="1"/>
    <col min="15" max="15" width="18" bestFit="1" customWidth="1"/>
  </cols>
  <sheetData>
    <row r="1" spans="1:15" x14ac:dyDescent="0.25">
      <c r="A1" s="554" t="s">
        <v>46</v>
      </c>
      <c r="B1" s="554"/>
      <c r="M1" t="s">
        <v>69</v>
      </c>
      <c r="O1" t="s">
        <v>70</v>
      </c>
    </row>
    <row r="2" spans="1:15" x14ac:dyDescent="0.25">
      <c r="A2" s="554" t="s">
        <v>47</v>
      </c>
      <c r="B2" s="554"/>
    </row>
    <row r="3" spans="1:15" ht="39" customHeight="1" thickBot="1" x14ac:dyDescent="0.7">
      <c r="A3" s="598" t="s">
        <v>54</v>
      </c>
      <c r="B3" s="598"/>
      <c r="C3" s="598"/>
      <c r="D3" s="598"/>
      <c r="E3" s="598"/>
      <c r="F3" s="598"/>
      <c r="G3" s="598"/>
      <c r="H3" s="598"/>
      <c r="I3" s="598"/>
      <c r="J3" s="598"/>
      <c r="K3" s="598"/>
      <c r="L3" s="598"/>
      <c r="M3" s="598"/>
      <c r="N3" s="598"/>
      <c r="O3" s="598"/>
    </row>
    <row r="4" spans="1:15" ht="24.75" customHeight="1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3"/>
      <c r="N4" s="4"/>
      <c r="O4" s="4"/>
    </row>
    <row r="5" spans="1:15" ht="27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/>
      <c r="F5" s="594" t="s">
        <v>14</v>
      </c>
      <c r="G5" s="595"/>
      <c r="H5" s="464" t="s">
        <v>7</v>
      </c>
      <c r="I5" s="450" t="s">
        <v>35</v>
      </c>
      <c r="J5" s="592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5" t="s">
        <v>1</v>
      </c>
      <c r="H6" s="465"/>
      <c r="I6" s="451"/>
      <c r="J6" s="593"/>
      <c r="K6" s="465"/>
      <c r="L6" s="465"/>
      <c r="M6" s="465"/>
      <c r="N6" s="499"/>
      <c r="O6" s="483"/>
    </row>
    <row r="7" spans="1:15" x14ac:dyDescent="0.25">
      <c r="A7" s="6"/>
      <c r="B7" s="30"/>
      <c r="C7" s="56">
        <v>0</v>
      </c>
      <c r="D7" s="56">
        <v>0</v>
      </c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6" t="s">
        <v>151</v>
      </c>
      <c r="C8" s="56"/>
      <c r="D8" s="56"/>
      <c r="E8" s="55"/>
      <c r="F8" s="8">
        <v>45665</v>
      </c>
      <c r="G8" s="8">
        <v>45678</v>
      </c>
      <c r="H8" s="9">
        <f>G8-F8+1</f>
        <v>14</v>
      </c>
      <c r="I8" s="9">
        <f>H8-3</f>
        <v>11</v>
      </c>
      <c r="J8" s="10">
        <v>17693</v>
      </c>
      <c r="K8" s="10">
        <f>J8/30</f>
        <v>589.76666666666665</v>
      </c>
      <c r="L8" s="160">
        <f>+I8</f>
        <v>11</v>
      </c>
      <c r="M8" s="10">
        <f>K8*L8</f>
        <v>6487.4333333333334</v>
      </c>
      <c r="N8" s="10">
        <f>M8*0.75</f>
        <v>4865.5749999999998</v>
      </c>
      <c r="O8" s="221"/>
    </row>
    <row r="9" spans="1:15" x14ac:dyDescent="0.25">
      <c r="A9" s="6">
        <v>2</v>
      </c>
      <c r="B9" s="6" t="s">
        <v>152</v>
      </c>
      <c r="C9" s="56"/>
      <c r="D9" s="56"/>
      <c r="E9" s="55"/>
      <c r="F9" s="8">
        <v>45659</v>
      </c>
      <c r="G9" s="8">
        <v>45664</v>
      </c>
      <c r="H9" s="9">
        <f>G9-F9+1</f>
        <v>6</v>
      </c>
      <c r="I9" s="9">
        <f>H9-3</f>
        <v>3</v>
      </c>
      <c r="J9" s="10">
        <v>7245</v>
      </c>
      <c r="K9" s="10">
        <f>J9/30</f>
        <v>241.5</v>
      </c>
      <c r="L9" s="160">
        <f>+I9</f>
        <v>3</v>
      </c>
      <c r="M9" s="10">
        <f>K9*L9</f>
        <v>724.5</v>
      </c>
      <c r="N9" s="10">
        <f>M9*0.75</f>
        <v>543.375</v>
      </c>
      <c r="O9" s="221"/>
    </row>
    <row r="10" spans="1:15" ht="15.75" thickBot="1" x14ac:dyDescent="0.3">
      <c r="A10" s="6"/>
      <c r="B10" s="6"/>
      <c r="C10" s="56"/>
      <c r="D10" s="56"/>
      <c r="E10" s="55"/>
      <c r="F10" s="8"/>
      <c r="G10" s="8"/>
      <c r="H10" s="9"/>
      <c r="I10" s="9"/>
      <c r="J10" s="10"/>
      <c r="K10" s="10"/>
      <c r="L10" s="9"/>
      <c r="M10" s="10"/>
      <c r="N10" s="10"/>
      <c r="O10" s="221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5408.95</v>
      </c>
      <c r="O11" s="4"/>
    </row>
    <row r="12" spans="1:15" ht="15" customHeight="1" x14ac:dyDescent="0.25">
      <c r="A12" s="4"/>
      <c r="B12" s="4"/>
      <c r="C12" s="541" t="s">
        <v>13</v>
      </c>
      <c r="D12" s="542"/>
      <c r="E12" s="542"/>
      <c r="F12" s="542"/>
      <c r="G12" s="542"/>
      <c r="H12" s="542"/>
      <c r="I12" s="542"/>
      <c r="J12" s="542"/>
      <c r="K12" s="542"/>
      <c r="L12" s="542"/>
      <c r="M12" s="543"/>
      <c r="N12" s="4"/>
      <c r="O12" s="4"/>
    </row>
    <row r="13" spans="1:15" ht="15.75" customHeight="1" thickBot="1" x14ac:dyDescent="0.3">
      <c r="A13" s="4"/>
      <c r="B13" s="4"/>
      <c r="C13" s="544"/>
      <c r="D13" s="545"/>
      <c r="E13" s="545"/>
      <c r="F13" s="545"/>
      <c r="G13" s="545"/>
      <c r="H13" s="545"/>
      <c r="I13" s="545"/>
      <c r="J13" s="545"/>
      <c r="K13" s="545"/>
      <c r="L13" s="545"/>
      <c r="M13" s="546"/>
      <c r="N13" s="4"/>
      <c r="O13" s="19"/>
    </row>
    <row r="14" spans="1:15" ht="27" customHeight="1" thickBot="1" x14ac:dyDescent="0.3">
      <c r="A14" s="472" t="s">
        <v>6</v>
      </c>
      <c r="B14" s="472" t="s">
        <v>8</v>
      </c>
      <c r="C14" s="458" t="s">
        <v>37</v>
      </c>
      <c r="D14" s="459"/>
      <c r="E14" s="537" t="s">
        <v>7</v>
      </c>
      <c r="F14" s="460" t="s">
        <v>14</v>
      </c>
      <c r="G14" s="461"/>
      <c r="H14" s="45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472" t="s">
        <v>11</v>
      </c>
    </row>
    <row r="15" spans="1:15" ht="15.75" thickBot="1" x14ac:dyDescent="0.3">
      <c r="A15" s="473"/>
      <c r="B15" s="473"/>
      <c r="C15" s="54" t="s">
        <v>38</v>
      </c>
      <c r="D15" s="54" t="s">
        <v>39</v>
      </c>
      <c r="E15" s="538"/>
      <c r="F15" s="5" t="s">
        <v>0</v>
      </c>
      <c r="G15" s="25" t="s">
        <v>1</v>
      </c>
      <c r="H15" s="451"/>
      <c r="I15" s="24"/>
      <c r="J15" s="451"/>
      <c r="K15" s="451"/>
      <c r="L15" s="451"/>
      <c r="M15" s="451"/>
      <c r="N15" s="451"/>
      <c r="O15" s="473"/>
    </row>
    <row r="16" spans="1:15" x14ac:dyDescent="0.25">
      <c r="A16" s="21"/>
      <c r="B16" s="7"/>
      <c r="C16" s="56">
        <v>0</v>
      </c>
      <c r="D16" s="56">
        <v>0</v>
      </c>
      <c r="E16" s="66">
        <f>D16-C16+1</f>
        <v>1</v>
      </c>
      <c r="F16" s="8">
        <v>0</v>
      </c>
      <c r="G16" s="8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11"/>
    </row>
    <row r="17" spans="1:15" x14ac:dyDescent="0.25">
      <c r="A17" s="173">
        <v>1</v>
      </c>
      <c r="B17" s="6" t="s">
        <v>108</v>
      </c>
      <c r="C17" s="56">
        <v>45590</v>
      </c>
      <c r="D17" s="56">
        <v>45679</v>
      </c>
      <c r="E17" s="66">
        <f>D17-C17+1</f>
        <v>90</v>
      </c>
      <c r="F17" s="8">
        <v>45658</v>
      </c>
      <c r="G17" s="8">
        <v>45679</v>
      </c>
      <c r="H17" s="9">
        <f>G17-F17+1</f>
        <v>22</v>
      </c>
      <c r="I17" s="9">
        <f>+H17</f>
        <v>22</v>
      </c>
      <c r="J17" s="10">
        <v>9310</v>
      </c>
      <c r="K17" s="10">
        <f>J17/30</f>
        <v>310.33333333333331</v>
      </c>
      <c r="L17" s="9">
        <f>+I17</f>
        <v>22</v>
      </c>
      <c r="M17" s="10">
        <f>K17*L17</f>
        <v>6827.333333333333</v>
      </c>
      <c r="N17" s="10">
        <f>M17*0.9</f>
        <v>6144.5999999999995</v>
      </c>
      <c r="O17" s="11"/>
    </row>
    <row r="18" spans="1:15" ht="15.75" thickBot="1" x14ac:dyDescent="0.3">
      <c r="A18" s="21"/>
      <c r="B18" s="7"/>
      <c r="C18" s="56"/>
      <c r="D18" s="56"/>
      <c r="E18" s="66">
        <f>D18-C18+1</f>
        <v>1</v>
      </c>
      <c r="F18" s="8"/>
      <c r="G18" s="8"/>
      <c r="H18" s="9">
        <f>G18-F18+1</f>
        <v>1</v>
      </c>
      <c r="I18" s="9"/>
      <c r="J18" s="10">
        <v>0</v>
      </c>
      <c r="K18" s="10">
        <f>J18/30</f>
        <v>0</v>
      </c>
      <c r="L18" s="9">
        <v>0</v>
      </c>
      <c r="M18" s="10">
        <f>K18*L18</f>
        <v>0</v>
      </c>
      <c r="N18" s="10">
        <f>M18*0.9</f>
        <v>0</v>
      </c>
      <c r="O18" s="11"/>
    </row>
    <row r="19" spans="1:15" ht="15.75" thickBot="1" x14ac:dyDescent="0.3">
      <c r="A19" s="4"/>
      <c r="B19" s="18"/>
      <c r="C19" s="18"/>
      <c r="D19" s="18"/>
      <c r="E19" s="18"/>
      <c r="F19" s="18"/>
      <c r="G19" s="18"/>
      <c r="H19" s="18"/>
      <c r="I19" s="18"/>
      <c r="J19" s="18"/>
      <c r="K19" s="4"/>
      <c r="L19" s="4"/>
      <c r="M19" s="4"/>
      <c r="N19" s="27">
        <f>SUM(N16:N18)</f>
        <v>6144.5999999999995</v>
      </c>
      <c r="O19" s="4"/>
    </row>
    <row r="20" spans="1:15" ht="15" customHeight="1" x14ac:dyDescent="0.25">
      <c r="A20" s="4"/>
      <c r="B20" s="4"/>
      <c r="C20" s="541" t="s">
        <v>25</v>
      </c>
      <c r="D20" s="542"/>
      <c r="E20" s="542"/>
      <c r="F20" s="542"/>
      <c r="G20" s="542"/>
      <c r="H20" s="542"/>
      <c r="I20" s="542"/>
      <c r="J20" s="542"/>
      <c r="K20" s="542"/>
      <c r="L20" s="542"/>
      <c r="M20" s="543"/>
      <c r="N20" s="4"/>
      <c r="O20" s="4"/>
    </row>
    <row r="21" spans="1:15" ht="15.75" customHeight="1" thickBot="1" x14ac:dyDescent="0.3">
      <c r="A21" s="4"/>
      <c r="B21" s="4"/>
      <c r="C21" s="544"/>
      <c r="D21" s="545"/>
      <c r="E21" s="545"/>
      <c r="F21" s="545"/>
      <c r="G21" s="545"/>
      <c r="H21" s="596"/>
      <c r="I21" s="596"/>
      <c r="J21" s="545"/>
      <c r="K21" s="545"/>
      <c r="L21" s="545"/>
      <c r="M21" s="546"/>
      <c r="N21" s="4"/>
      <c r="O21" s="19"/>
    </row>
    <row r="22" spans="1:15" ht="24.75" customHeight="1" thickBot="1" x14ac:dyDescent="0.3">
      <c r="A22" s="472" t="s">
        <v>6</v>
      </c>
      <c r="B22" s="472" t="s">
        <v>8</v>
      </c>
      <c r="C22" s="458" t="s">
        <v>37</v>
      </c>
      <c r="D22" s="459"/>
      <c r="E22" s="537"/>
      <c r="F22" s="460" t="s">
        <v>14</v>
      </c>
      <c r="G22" s="584"/>
      <c r="H22" s="597" t="s">
        <v>7</v>
      </c>
      <c r="I22" s="208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472" t="s">
        <v>11</v>
      </c>
    </row>
    <row r="23" spans="1:15" ht="15.75" thickBot="1" x14ac:dyDescent="0.3">
      <c r="A23" s="473"/>
      <c r="B23" s="473"/>
      <c r="C23" s="54" t="s">
        <v>38</v>
      </c>
      <c r="D23" s="54" t="s">
        <v>39</v>
      </c>
      <c r="E23" s="538"/>
      <c r="F23" s="5" t="s">
        <v>0</v>
      </c>
      <c r="G23" s="25" t="s">
        <v>1</v>
      </c>
      <c r="H23" s="597"/>
      <c r="I23" s="208"/>
      <c r="J23" s="451"/>
      <c r="K23" s="451"/>
      <c r="L23" s="451"/>
      <c r="M23" s="451"/>
      <c r="N23" s="451"/>
      <c r="O23" s="473"/>
    </row>
    <row r="24" spans="1:15" x14ac:dyDescent="0.25">
      <c r="A24" s="21"/>
      <c r="B24" s="7"/>
      <c r="C24" s="56"/>
      <c r="D24" s="56"/>
      <c r="E24" s="55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ht="15.75" thickBot="1" x14ac:dyDescent="0.3">
      <c r="A25" s="21">
        <v>1</v>
      </c>
      <c r="B25" s="6" t="s">
        <v>90</v>
      </c>
      <c r="C25" s="358">
        <v>45652</v>
      </c>
      <c r="D25" s="358">
        <v>45692</v>
      </c>
      <c r="E25" s="7"/>
      <c r="F25" s="8">
        <v>45658</v>
      </c>
      <c r="G25" s="203">
        <v>45687</v>
      </c>
      <c r="H25" s="15">
        <f>G25-F25+1</f>
        <v>30</v>
      </c>
      <c r="I25" s="15"/>
      <c r="J25" s="10">
        <v>3804</v>
      </c>
      <c r="K25" s="10">
        <f>J25/30</f>
        <v>126.8</v>
      </c>
      <c r="L25" s="9">
        <f>+H25</f>
        <v>30</v>
      </c>
      <c r="M25" s="10">
        <f>K25*L25</f>
        <v>3804</v>
      </c>
      <c r="N25" s="10">
        <f>M25*0.9</f>
        <v>3423.6</v>
      </c>
      <c r="O25" s="11"/>
    </row>
    <row r="26" spans="1:15" ht="15.75" thickBot="1" x14ac:dyDescent="0.3">
      <c r="A26" s="4"/>
      <c r="B26" s="18"/>
      <c r="C26" s="18"/>
      <c r="D26" s="18"/>
      <c r="E26" s="18"/>
      <c r="F26" s="18"/>
      <c r="G26" s="18"/>
      <c r="H26" s="15"/>
      <c r="I26" s="15"/>
      <c r="J26" s="18"/>
      <c r="K26" s="4"/>
      <c r="L26" s="4"/>
      <c r="M26" s="4"/>
      <c r="N26" s="27">
        <f>SUM(N24:N25)</f>
        <v>3423.6</v>
      </c>
      <c r="O26" s="46"/>
    </row>
    <row r="27" spans="1:15" ht="15.75" thickBot="1" x14ac:dyDescent="0.3"/>
    <row r="28" spans="1:15" ht="15.75" thickBot="1" x14ac:dyDescent="0.3">
      <c r="K28" s="547" t="s">
        <v>26</v>
      </c>
      <c r="L28" s="548"/>
      <c r="M28" s="549"/>
      <c r="N28" s="172">
        <f>N11+N19+N26</f>
        <v>14977.15</v>
      </c>
    </row>
  </sheetData>
  <mergeCells count="44">
    <mergeCell ref="N22:N23"/>
    <mergeCell ref="O22:O23"/>
    <mergeCell ref="A22:A23"/>
    <mergeCell ref="B22:B23"/>
    <mergeCell ref="O14:O15"/>
    <mergeCell ref="A14:A15"/>
    <mergeCell ref="B14:B15"/>
    <mergeCell ref="C14:D14"/>
    <mergeCell ref="E14:E15"/>
    <mergeCell ref="F14:G14"/>
    <mergeCell ref="H14:H15"/>
    <mergeCell ref="J14:J15"/>
    <mergeCell ref="K14:K15"/>
    <mergeCell ref="L14:L15"/>
    <mergeCell ref="M14:M15"/>
    <mergeCell ref="N14:N15"/>
    <mergeCell ref="C12:M13"/>
    <mergeCell ref="A1:B1"/>
    <mergeCell ref="A2:B2"/>
    <mergeCell ref="K28:M28"/>
    <mergeCell ref="C20:M21"/>
    <mergeCell ref="H22:H23"/>
    <mergeCell ref="J22:J23"/>
    <mergeCell ref="K22:K23"/>
    <mergeCell ref="L22:L23"/>
    <mergeCell ref="C22:D22"/>
    <mergeCell ref="E22:E23"/>
    <mergeCell ref="F22:G22"/>
    <mergeCell ref="M22:M23"/>
    <mergeCell ref="A3:O3"/>
    <mergeCell ref="C4:M4"/>
    <mergeCell ref="A5:A6"/>
    <mergeCell ref="B5:B6"/>
    <mergeCell ref="C5:D5"/>
    <mergeCell ref="E5:E6"/>
    <mergeCell ref="F5:G5"/>
    <mergeCell ref="H5:H6"/>
    <mergeCell ref="N5:N6"/>
    <mergeCell ref="O5:O6"/>
    <mergeCell ref="I5:I6"/>
    <mergeCell ref="J5:J6"/>
    <mergeCell ref="K5:K6"/>
    <mergeCell ref="L5:L6"/>
    <mergeCell ref="M5:M6"/>
  </mergeCells>
  <pageMargins left="0.70866141732283472" right="0.31496062992125984" top="0.74803149606299213" bottom="0.74803149606299213" header="0.31496062992125984" footer="0.31496062992125984"/>
  <pageSetup scale="8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7"/>
  <sheetViews>
    <sheetView view="pageBreakPreview" topLeftCell="A7" zoomScale="130" zoomScaleNormal="100" zoomScaleSheetLayoutView="130" workbookViewId="0">
      <selection activeCell="F24" sqref="F24"/>
    </sheetView>
  </sheetViews>
  <sheetFormatPr baseColWidth="10" defaultColWidth="11.42578125" defaultRowHeight="15" x14ac:dyDescent="0.25"/>
  <cols>
    <col min="1" max="1" width="3.5703125" customWidth="1"/>
    <col min="2" max="2" width="26.85546875" bestFit="1" customWidth="1"/>
    <col min="3" max="4" width="12.7109375" customWidth="1"/>
    <col min="5" max="5" width="4.85546875" customWidth="1"/>
    <col min="6" max="7" width="8.7109375" customWidth="1"/>
    <col min="8" max="8" width="4.85546875" customWidth="1"/>
    <col min="9" max="9" width="4.5703125" customWidth="1"/>
    <col min="10" max="10" width="9.5703125" customWidth="1"/>
    <col min="11" max="12" width="8.85546875" customWidth="1"/>
    <col min="15" max="15" width="20.85546875" customWidth="1"/>
  </cols>
  <sheetData>
    <row r="1" spans="1:15" ht="36" thickBot="1" x14ac:dyDescent="0.55000000000000004">
      <c r="A1" s="590" t="s">
        <v>156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</row>
    <row r="2" spans="1:15" ht="24.75" customHeight="1" thickBot="1" x14ac:dyDescent="0.35">
      <c r="A2" s="4"/>
      <c r="B2" s="4"/>
      <c r="C2" s="551" t="s">
        <v>17</v>
      </c>
      <c r="D2" s="552"/>
      <c r="E2" s="552"/>
      <c r="F2" s="552"/>
      <c r="G2" s="552"/>
      <c r="H2" s="552"/>
      <c r="I2" s="552"/>
      <c r="J2" s="552"/>
      <c r="K2" s="552"/>
      <c r="L2" s="552"/>
      <c r="M2" s="553"/>
      <c r="N2" s="4"/>
      <c r="O2" s="4"/>
    </row>
    <row r="3" spans="1:15" ht="27" customHeight="1" thickBot="1" x14ac:dyDescent="0.3">
      <c r="A3" s="490" t="s">
        <v>6</v>
      </c>
      <c r="B3" s="472" t="s">
        <v>8</v>
      </c>
      <c r="C3" s="458" t="s">
        <v>37</v>
      </c>
      <c r="D3" s="459"/>
      <c r="E3" s="537"/>
      <c r="F3" s="594" t="s">
        <v>14</v>
      </c>
      <c r="G3" s="595"/>
      <c r="H3" s="464" t="s">
        <v>7</v>
      </c>
      <c r="I3" s="450" t="s">
        <v>35</v>
      </c>
      <c r="J3" s="592" t="s">
        <v>2</v>
      </c>
      <c r="K3" s="464" t="s">
        <v>3</v>
      </c>
      <c r="L3" s="464" t="s">
        <v>4</v>
      </c>
      <c r="M3" s="464" t="s">
        <v>5</v>
      </c>
      <c r="N3" s="498" t="s">
        <v>9</v>
      </c>
      <c r="O3" s="482" t="s">
        <v>11</v>
      </c>
    </row>
    <row r="4" spans="1:15" ht="15.75" thickBot="1" x14ac:dyDescent="0.3">
      <c r="A4" s="491"/>
      <c r="B4" s="473"/>
      <c r="C4" s="54" t="s">
        <v>38</v>
      </c>
      <c r="D4" s="54" t="s">
        <v>39</v>
      </c>
      <c r="E4" s="538"/>
      <c r="F4" s="5" t="s">
        <v>0</v>
      </c>
      <c r="G4" s="25" t="s">
        <v>1</v>
      </c>
      <c r="H4" s="465"/>
      <c r="I4" s="451"/>
      <c r="J4" s="593"/>
      <c r="K4" s="465"/>
      <c r="L4" s="465"/>
      <c r="M4" s="465"/>
      <c r="N4" s="499"/>
      <c r="O4" s="483"/>
    </row>
    <row r="5" spans="1:15" x14ac:dyDescent="0.25">
      <c r="A5" s="6"/>
      <c r="B5" s="30"/>
      <c r="C5" s="56">
        <v>0</v>
      </c>
      <c r="D5" s="56">
        <v>0</v>
      </c>
      <c r="E5" s="55"/>
      <c r="F5" s="8">
        <v>0</v>
      </c>
      <c r="G5" s="8">
        <v>0</v>
      </c>
      <c r="H5" s="9">
        <f>G5-F5+1</f>
        <v>1</v>
      </c>
      <c r="I5" s="9">
        <f>H5-3</f>
        <v>-2</v>
      </c>
      <c r="J5" s="10">
        <v>0</v>
      </c>
      <c r="K5" s="10">
        <f>J5/30</f>
        <v>0</v>
      </c>
      <c r="L5" s="9"/>
      <c r="M5" s="10">
        <f>K5*L5</f>
        <v>0</v>
      </c>
      <c r="N5" s="10">
        <f>M5*0.75</f>
        <v>0</v>
      </c>
      <c r="O5" s="11"/>
    </row>
    <row r="6" spans="1:15" x14ac:dyDescent="0.25">
      <c r="A6" s="6">
        <v>1</v>
      </c>
      <c r="B6" s="130"/>
      <c r="C6" s="56"/>
      <c r="D6" s="56"/>
      <c r="E6" s="121">
        <f>+D6-C6+1</f>
        <v>1</v>
      </c>
      <c r="F6" s="8"/>
      <c r="G6" s="8"/>
      <c r="H6" s="9">
        <f>G6-F6+1</f>
        <v>1</v>
      </c>
      <c r="I6" s="9">
        <f>H6-3</f>
        <v>-2</v>
      </c>
      <c r="J6" s="10"/>
      <c r="K6" s="10">
        <f>J6/30</f>
        <v>0</v>
      </c>
      <c r="L6" s="9"/>
      <c r="M6" s="10">
        <f>K6*L6</f>
        <v>0</v>
      </c>
      <c r="N6" s="10">
        <f>M6*0.75</f>
        <v>0</v>
      </c>
      <c r="O6" s="11"/>
    </row>
    <row r="7" spans="1:15" x14ac:dyDescent="0.25">
      <c r="A7" s="6">
        <v>1</v>
      </c>
      <c r="B7" s="130"/>
      <c r="C7" s="56"/>
      <c r="D7" s="56"/>
      <c r="E7" s="121">
        <f>+D7-C7+1</f>
        <v>1</v>
      </c>
      <c r="F7" s="8"/>
      <c r="G7" s="8"/>
      <c r="H7" s="9">
        <f>G7-F7+1</f>
        <v>1</v>
      </c>
      <c r="I7" s="9">
        <f>H7-3</f>
        <v>-2</v>
      </c>
      <c r="J7" s="10"/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ht="15.75" thickBot="1" x14ac:dyDescent="0.3">
      <c r="A8" s="6"/>
      <c r="B8" s="7"/>
      <c r="C8" s="56">
        <v>0</v>
      </c>
      <c r="D8" s="56">
        <v>0</v>
      </c>
      <c r="E8" s="55"/>
      <c r="F8" s="8"/>
      <c r="G8" s="8"/>
      <c r="H8" s="9">
        <f>G8-F8+1</f>
        <v>1</v>
      </c>
      <c r="I8" s="9">
        <f>H8-3</f>
        <v>-2</v>
      </c>
      <c r="J8" s="10"/>
      <c r="K8" s="10">
        <f>J8/30</f>
        <v>0</v>
      </c>
      <c r="L8" s="9"/>
      <c r="M8" s="10">
        <f>K8*L8</f>
        <v>0</v>
      </c>
      <c r="N8" s="10">
        <f>M8*0.75</f>
        <v>0</v>
      </c>
      <c r="O8" s="11"/>
    </row>
    <row r="9" spans="1:15" ht="15.75" thickBot="1" x14ac:dyDescent="0.3">
      <c r="A9" s="4"/>
      <c r="B9" s="18"/>
      <c r="C9" s="18"/>
      <c r="D9" s="18"/>
      <c r="E9" s="18"/>
      <c r="F9" s="18"/>
      <c r="G9" s="18"/>
      <c r="H9" s="18"/>
      <c r="I9" s="18"/>
      <c r="J9" s="18"/>
      <c r="K9" s="4"/>
      <c r="L9" s="4"/>
      <c r="M9" s="4"/>
      <c r="N9" s="27">
        <f>SUM(N5:N8)</f>
        <v>0</v>
      </c>
      <c r="O9" s="4"/>
    </row>
    <row r="10" spans="1:15" ht="15" customHeight="1" x14ac:dyDescent="0.25">
      <c r="A10" s="4"/>
      <c r="B10" s="4"/>
      <c r="C10" s="541" t="s">
        <v>13</v>
      </c>
      <c r="D10" s="542"/>
      <c r="E10" s="542"/>
      <c r="F10" s="542"/>
      <c r="G10" s="542"/>
      <c r="H10" s="542"/>
      <c r="I10" s="542"/>
      <c r="J10" s="542"/>
      <c r="K10" s="542"/>
      <c r="L10" s="542"/>
      <c r="M10" s="543"/>
      <c r="N10" s="4"/>
      <c r="O10" s="4"/>
    </row>
    <row r="11" spans="1:15" ht="15.75" customHeight="1" thickBot="1" x14ac:dyDescent="0.3">
      <c r="A11" s="4"/>
      <c r="B11" s="4"/>
      <c r="C11" s="544"/>
      <c r="D11" s="545"/>
      <c r="E11" s="545"/>
      <c r="F11" s="545"/>
      <c r="G11" s="545"/>
      <c r="H11" s="545"/>
      <c r="I11" s="545"/>
      <c r="J11" s="545"/>
      <c r="K11" s="545"/>
      <c r="L11" s="545"/>
      <c r="M11" s="546"/>
      <c r="N11" s="4"/>
      <c r="O11" s="19"/>
    </row>
    <row r="12" spans="1:15" ht="27" customHeight="1" thickBot="1" x14ac:dyDescent="0.3">
      <c r="A12" s="472" t="s">
        <v>6</v>
      </c>
      <c r="B12" s="472" t="s">
        <v>8</v>
      </c>
      <c r="C12" s="458" t="s">
        <v>37</v>
      </c>
      <c r="D12" s="459"/>
      <c r="E12" s="537" t="s">
        <v>7</v>
      </c>
      <c r="F12" s="460" t="s">
        <v>14</v>
      </c>
      <c r="G12" s="461"/>
      <c r="H12" s="450" t="s">
        <v>7</v>
      </c>
      <c r="I12" s="20"/>
      <c r="J12" s="450" t="s">
        <v>2</v>
      </c>
      <c r="K12" s="450" t="s">
        <v>3</v>
      </c>
      <c r="L12" s="450" t="s">
        <v>4</v>
      </c>
      <c r="M12" s="450" t="s">
        <v>5</v>
      </c>
      <c r="N12" s="450" t="s">
        <v>10</v>
      </c>
      <c r="O12" s="472" t="s">
        <v>11</v>
      </c>
    </row>
    <row r="13" spans="1:15" ht="15.75" thickBot="1" x14ac:dyDescent="0.3">
      <c r="A13" s="473"/>
      <c r="B13" s="473"/>
      <c r="C13" s="54" t="s">
        <v>38</v>
      </c>
      <c r="D13" s="54" t="s">
        <v>39</v>
      </c>
      <c r="E13" s="538"/>
      <c r="F13" s="5" t="s">
        <v>0</v>
      </c>
      <c r="G13" s="25" t="s">
        <v>1</v>
      </c>
      <c r="H13" s="451"/>
      <c r="I13" s="24"/>
      <c r="J13" s="451"/>
      <c r="K13" s="451"/>
      <c r="L13" s="451"/>
      <c r="M13" s="451"/>
      <c r="N13" s="451"/>
      <c r="O13" s="473"/>
    </row>
    <row r="14" spans="1:15" x14ac:dyDescent="0.25">
      <c r="A14" s="21"/>
      <c r="B14" s="7"/>
      <c r="C14" s="56">
        <v>0</v>
      </c>
      <c r="D14" s="56">
        <v>0</v>
      </c>
      <c r="E14" s="66">
        <f>D14-C14+1</f>
        <v>1</v>
      </c>
      <c r="F14" s="8">
        <v>0</v>
      </c>
      <c r="G14" s="8">
        <v>0</v>
      </c>
      <c r="H14" s="9">
        <f>G14-F14+1</f>
        <v>1</v>
      </c>
      <c r="I14" s="9"/>
      <c r="J14" s="10">
        <v>0</v>
      </c>
      <c r="K14" s="10">
        <f>J14/30</f>
        <v>0</v>
      </c>
      <c r="L14" s="9">
        <v>0</v>
      </c>
      <c r="M14" s="10">
        <f>K14*L14</f>
        <v>0</v>
      </c>
      <c r="N14" s="10">
        <f>M14*0.9</f>
        <v>0</v>
      </c>
      <c r="O14" s="11"/>
    </row>
    <row r="15" spans="1:15" x14ac:dyDescent="0.25">
      <c r="A15" s="21">
        <v>1</v>
      </c>
      <c r="B15" s="173"/>
      <c r="C15" s="56"/>
      <c r="D15" s="56"/>
      <c r="E15" s="66">
        <f>D15-C15+1</f>
        <v>1</v>
      </c>
      <c r="F15" s="8"/>
      <c r="G15" s="8"/>
      <c r="H15" s="9">
        <f>G15-F15+1</f>
        <v>1</v>
      </c>
      <c r="I15" s="9"/>
      <c r="J15" s="10"/>
      <c r="K15" s="10">
        <f>J15/30</f>
        <v>0</v>
      </c>
      <c r="L15" s="9"/>
      <c r="M15" s="10">
        <f>K15*L15</f>
        <v>0</v>
      </c>
      <c r="N15" s="10">
        <f>M15*0.9</f>
        <v>0</v>
      </c>
      <c r="O15" s="359"/>
    </row>
    <row r="16" spans="1:15" ht="15.75" thickBot="1" x14ac:dyDescent="0.3">
      <c r="A16" s="21"/>
      <c r="B16" s="7"/>
      <c r="C16" s="56"/>
      <c r="D16" s="56"/>
      <c r="E16" s="66">
        <f>D16-C16+1</f>
        <v>1</v>
      </c>
      <c r="F16" s="8"/>
      <c r="G16" s="8"/>
      <c r="H16" s="9">
        <f>G16-F16+1</f>
        <v>1</v>
      </c>
      <c r="I16" s="9"/>
      <c r="J16" s="10"/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11"/>
    </row>
    <row r="17" spans="1:15" ht="15.75" thickBot="1" x14ac:dyDescent="0.3">
      <c r="A17" s="4"/>
      <c r="B17" s="18"/>
      <c r="C17" s="18"/>
      <c r="D17" s="18"/>
      <c r="E17" s="18"/>
      <c r="F17" s="18"/>
      <c r="G17" s="18"/>
      <c r="H17" s="18"/>
      <c r="I17" s="18"/>
      <c r="J17" s="18"/>
      <c r="K17" s="4"/>
      <c r="L17" s="4"/>
      <c r="M17" s="4"/>
      <c r="N17" s="27">
        <f>SUM(N14:N16)</f>
        <v>0</v>
      </c>
      <c r="O17" s="4"/>
    </row>
    <row r="18" spans="1:15" ht="15" customHeight="1" x14ac:dyDescent="0.25">
      <c r="A18" s="4"/>
      <c r="B18" s="4"/>
      <c r="C18" s="541" t="s">
        <v>25</v>
      </c>
      <c r="D18" s="542"/>
      <c r="E18" s="542"/>
      <c r="F18" s="542"/>
      <c r="G18" s="542"/>
      <c r="H18" s="542"/>
      <c r="I18" s="542"/>
      <c r="J18" s="542"/>
      <c r="K18" s="542"/>
      <c r="L18" s="542"/>
      <c r="M18" s="543"/>
      <c r="N18" s="4"/>
      <c r="O18" s="4"/>
    </row>
    <row r="19" spans="1:15" ht="15.75" customHeight="1" thickBot="1" x14ac:dyDescent="0.3">
      <c r="A19" s="4"/>
      <c r="B19" s="4"/>
      <c r="C19" s="544"/>
      <c r="D19" s="545"/>
      <c r="E19" s="545"/>
      <c r="F19" s="545"/>
      <c r="G19" s="545"/>
      <c r="H19" s="599"/>
      <c r="I19" s="599"/>
      <c r="J19" s="545"/>
      <c r="K19" s="545"/>
      <c r="L19" s="545"/>
      <c r="M19" s="546"/>
      <c r="N19" s="4"/>
      <c r="O19" s="19"/>
    </row>
    <row r="20" spans="1:15" ht="24.75" customHeight="1" thickBot="1" x14ac:dyDescent="0.3">
      <c r="A20" s="472" t="s">
        <v>6</v>
      </c>
      <c r="B20" s="472" t="s">
        <v>8</v>
      </c>
      <c r="C20" s="458" t="s">
        <v>37</v>
      </c>
      <c r="D20" s="459"/>
      <c r="E20" s="537"/>
      <c r="F20" s="460" t="s">
        <v>14</v>
      </c>
      <c r="G20" s="584"/>
      <c r="H20" s="597" t="s">
        <v>7</v>
      </c>
      <c r="I20" s="208"/>
      <c r="J20" s="450" t="s">
        <v>2</v>
      </c>
      <c r="K20" s="450" t="s">
        <v>3</v>
      </c>
      <c r="L20" s="450" t="s">
        <v>4</v>
      </c>
      <c r="M20" s="450" t="s">
        <v>5</v>
      </c>
      <c r="N20" s="450" t="s">
        <v>10</v>
      </c>
      <c r="O20" s="472" t="s">
        <v>11</v>
      </c>
    </row>
    <row r="21" spans="1:15" ht="15.75" thickBot="1" x14ac:dyDescent="0.3">
      <c r="A21" s="473"/>
      <c r="B21" s="473"/>
      <c r="C21" s="54" t="s">
        <v>38</v>
      </c>
      <c r="D21" s="54" t="s">
        <v>39</v>
      </c>
      <c r="E21" s="538"/>
      <c r="F21" s="5" t="s">
        <v>0</v>
      </c>
      <c r="G21" s="25" t="s">
        <v>1</v>
      </c>
      <c r="H21" s="597"/>
      <c r="I21" s="15"/>
      <c r="J21" s="451"/>
      <c r="K21" s="451"/>
      <c r="L21" s="451"/>
      <c r="M21" s="451"/>
      <c r="N21" s="451"/>
      <c r="O21" s="473"/>
    </row>
    <row r="22" spans="1:15" x14ac:dyDescent="0.25">
      <c r="A22" s="21"/>
      <c r="B22" s="7"/>
      <c r="C22" s="56"/>
      <c r="D22" s="56"/>
      <c r="E22" s="55"/>
      <c r="F22" s="8">
        <v>44927</v>
      </c>
      <c r="G22" s="203">
        <v>44927</v>
      </c>
      <c r="H22" s="15">
        <f>G22-F22+1</f>
        <v>1</v>
      </c>
      <c r="I22" s="15"/>
      <c r="J22" s="10">
        <v>0</v>
      </c>
      <c r="K22" s="10">
        <f>J22/30</f>
        <v>0</v>
      </c>
      <c r="L22" s="9"/>
      <c r="M22" s="10">
        <f>K22*L22</f>
        <v>0</v>
      </c>
      <c r="N22" s="10">
        <f>M22*0.9</f>
        <v>0</v>
      </c>
      <c r="O22" s="11"/>
    </row>
    <row r="23" spans="1:15" x14ac:dyDescent="0.25">
      <c r="A23" s="21">
        <v>1</v>
      </c>
      <c r="B23" s="7" t="s">
        <v>157</v>
      </c>
      <c r="C23" s="7"/>
      <c r="D23" s="7"/>
      <c r="E23" s="7"/>
      <c r="F23" s="8">
        <v>45685</v>
      </c>
      <c r="G23" s="203">
        <v>45685</v>
      </c>
      <c r="H23" s="15">
        <f>G23-F23+1</f>
        <v>1</v>
      </c>
      <c r="I23" s="15"/>
      <c r="J23" s="10">
        <v>21574</v>
      </c>
      <c r="K23" s="10">
        <f>J23/30</f>
        <v>719.13333333333333</v>
      </c>
      <c r="L23" s="9">
        <f>+H23</f>
        <v>1</v>
      </c>
      <c r="M23" s="10">
        <f>K23*L23</f>
        <v>719.13333333333333</v>
      </c>
      <c r="N23" s="10">
        <f>M23*0.9</f>
        <v>647.22</v>
      </c>
      <c r="O23" s="11"/>
    </row>
    <row r="24" spans="1:15" ht="15.75" thickBot="1" x14ac:dyDescent="0.3">
      <c r="A24" s="21"/>
      <c r="B24" s="7"/>
      <c r="C24" s="7"/>
      <c r="D24" s="7"/>
      <c r="E24" s="7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ht="15.75" thickBot="1" x14ac:dyDescent="0.3">
      <c r="A25" s="4"/>
      <c r="B25" s="18"/>
      <c r="C25" s="18"/>
      <c r="D25" s="18"/>
      <c r="E25" s="18"/>
      <c r="F25" s="18"/>
      <c r="G25" s="18"/>
      <c r="H25" s="18"/>
      <c r="I25" s="18"/>
      <c r="J25" s="18"/>
      <c r="K25" s="4"/>
      <c r="L25" s="4"/>
      <c r="M25" s="4"/>
      <c r="N25" s="27">
        <f>SUM(N22:N24)</f>
        <v>647.22</v>
      </c>
      <c r="O25" s="46"/>
    </row>
    <row r="26" spans="1:15" ht="15.75" thickBot="1" x14ac:dyDescent="0.3"/>
    <row r="27" spans="1:15" ht="15.75" thickBot="1" x14ac:dyDescent="0.3">
      <c r="K27" s="547" t="s">
        <v>26</v>
      </c>
      <c r="L27" s="548"/>
      <c r="M27" s="549"/>
      <c r="N27" s="172">
        <f>N9+N17+N25</f>
        <v>647.22</v>
      </c>
    </row>
  </sheetData>
  <mergeCells count="42">
    <mergeCell ref="C18:M19"/>
    <mergeCell ref="E12:E13"/>
    <mergeCell ref="E20:E21"/>
    <mergeCell ref="E3:E4"/>
    <mergeCell ref="N20:N21"/>
    <mergeCell ref="J12:J13"/>
    <mergeCell ref="K12:K13"/>
    <mergeCell ref="O20:O21"/>
    <mergeCell ref="K27:M27"/>
    <mergeCell ref="A20:A21"/>
    <mergeCell ref="B20:B21"/>
    <mergeCell ref="F20:G20"/>
    <mergeCell ref="H20:H21"/>
    <mergeCell ref="J20:J21"/>
    <mergeCell ref="K20:K21"/>
    <mergeCell ref="L20:L21"/>
    <mergeCell ref="M20:M21"/>
    <mergeCell ref="C20:D20"/>
    <mergeCell ref="O12:O13"/>
    <mergeCell ref="L3:L4"/>
    <mergeCell ref="M3:M4"/>
    <mergeCell ref="N3:N4"/>
    <mergeCell ref="O3:O4"/>
    <mergeCell ref="L12:L13"/>
    <mergeCell ref="M12:M13"/>
    <mergeCell ref="N12:N13"/>
    <mergeCell ref="C10:M11"/>
    <mergeCell ref="A12:A13"/>
    <mergeCell ref="B12:B13"/>
    <mergeCell ref="F12:G12"/>
    <mergeCell ref="H12:H13"/>
    <mergeCell ref="C12:D12"/>
    <mergeCell ref="A1:O1"/>
    <mergeCell ref="A3:A4"/>
    <mergeCell ref="B3:B4"/>
    <mergeCell ref="F3:G3"/>
    <mergeCell ref="H3:H4"/>
    <mergeCell ref="I3:I4"/>
    <mergeCell ref="J3:J4"/>
    <mergeCell ref="K3:K4"/>
    <mergeCell ref="C3:D3"/>
    <mergeCell ref="C2:M2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9"/>
  <sheetViews>
    <sheetView zoomScale="110" zoomScaleNormal="110" workbookViewId="0">
      <selection activeCell="A10" sqref="A10"/>
    </sheetView>
  </sheetViews>
  <sheetFormatPr baseColWidth="10" defaultColWidth="11.42578125" defaultRowHeight="15" x14ac:dyDescent="0.25"/>
  <cols>
    <col min="1" max="1" width="3.5703125" customWidth="1"/>
    <col min="2" max="2" width="36.28515625" customWidth="1"/>
    <col min="3" max="4" width="12.7109375" customWidth="1"/>
    <col min="5" max="5" width="4.85546875" customWidth="1"/>
    <col min="6" max="7" width="8.7109375" customWidth="1"/>
    <col min="8" max="8" width="4.85546875" customWidth="1"/>
    <col min="9" max="9" width="4.5703125" customWidth="1"/>
    <col min="10" max="10" width="9.5703125" customWidth="1"/>
    <col min="11" max="12" width="8.85546875" customWidth="1"/>
    <col min="15" max="15" width="17.28515625" bestFit="1" customWidth="1"/>
  </cols>
  <sheetData>
    <row r="1" spans="1:15" x14ac:dyDescent="0.25">
      <c r="A1" s="94" t="s">
        <v>46</v>
      </c>
      <c r="B1" s="90"/>
      <c r="M1" t="s">
        <v>69</v>
      </c>
      <c r="O1" t="s">
        <v>111</v>
      </c>
    </row>
    <row r="2" spans="1:15" x14ac:dyDescent="0.25">
      <c r="A2" s="354"/>
      <c r="B2" s="90" t="s">
        <v>47</v>
      </c>
    </row>
    <row r="3" spans="1:15" ht="36" thickBot="1" x14ac:dyDescent="0.55000000000000004">
      <c r="A3" s="590" t="s">
        <v>110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</row>
    <row r="4" spans="1:15" ht="24.75" customHeight="1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3"/>
      <c r="N4" s="4"/>
      <c r="O4" s="4"/>
    </row>
    <row r="5" spans="1:15" ht="27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/>
      <c r="F5" s="594" t="s">
        <v>14</v>
      </c>
      <c r="G5" s="595"/>
      <c r="H5" s="464" t="s">
        <v>7</v>
      </c>
      <c r="I5" s="450" t="s">
        <v>35</v>
      </c>
      <c r="J5" s="592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5" t="s">
        <v>1</v>
      </c>
      <c r="H6" s="465"/>
      <c r="I6" s="451"/>
      <c r="J6" s="593"/>
      <c r="K6" s="465"/>
      <c r="L6" s="465"/>
      <c r="M6" s="465"/>
      <c r="N6" s="499"/>
      <c r="O6" s="483"/>
    </row>
    <row r="7" spans="1:15" x14ac:dyDescent="0.25">
      <c r="A7" s="6"/>
      <c r="B7" s="30"/>
      <c r="C7" s="56">
        <v>0</v>
      </c>
      <c r="D7" s="56">
        <v>0</v>
      </c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130" t="s">
        <v>153</v>
      </c>
      <c r="C8" s="56">
        <v>45643</v>
      </c>
      <c r="D8" s="56">
        <v>45666</v>
      </c>
      <c r="E8" s="121">
        <f>+D8-C8+1</f>
        <v>24</v>
      </c>
      <c r="F8" s="8">
        <v>45658</v>
      </c>
      <c r="G8" s="8">
        <v>45666</v>
      </c>
      <c r="H8" s="9">
        <f>G8-F8+1</f>
        <v>9</v>
      </c>
      <c r="I8" s="9">
        <f>H8-3</f>
        <v>6</v>
      </c>
      <c r="J8" s="10">
        <v>8842</v>
      </c>
      <c r="K8" s="10">
        <f>J8/30</f>
        <v>294.73333333333335</v>
      </c>
      <c r="L8" s="9">
        <v>9</v>
      </c>
      <c r="M8" s="10">
        <f>K8*L8</f>
        <v>2652.6000000000004</v>
      </c>
      <c r="N8" s="10">
        <f>M8*0.75</f>
        <v>1989.4500000000003</v>
      </c>
      <c r="O8" s="11"/>
    </row>
    <row r="9" spans="1:15" x14ac:dyDescent="0.25">
      <c r="A9" s="6">
        <v>2</v>
      </c>
      <c r="B9" s="130" t="s">
        <v>154</v>
      </c>
      <c r="C9" s="56"/>
      <c r="D9" s="56"/>
      <c r="E9" s="121">
        <f t="shared" ref="E9:E10" si="0">+D9-C9+1</f>
        <v>1</v>
      </c>
      <c r="F9" s="8">
        <v>45679</v>
      </c>
      <c r="G9" s="8">
        <v>45687</v>
      </c>
      <c r="H9" s="9">
        <f t="shared" ref="H9:H10" si="1">G9-F9+1</f>
        <v>9</v>
      </c>
      <c r="I9" s="9">
        <f t="shared" ref="I9:I10" si="2">H9-3</f>
        <v>6</v>
      </c>
      <c r="J9" s="10">
        <v>7384</v>
      </c>
      <c r="K9" s="10">
        <f t="shared" ref="K9:K10" si="3">J9/30</f>
        <v>246.13333333333333</v>
      </c>
      <c r="L9" s="9">
        <f>+I9</f>
        <v>6</v>
      </c>
      <c r="M9" s="10">
        <f t="shared" ref="M9:M10" si="4">K9*L9</f>
        <v>1476.8</v>
      </c>
      <c r="N9" s="10">
        <f t="shared" ref="N9:N10" si="5">M9*0.75</f>
        <v>1107.5999999999999</v>
      </c>
      <c r="O9" s="11"/>
    </row>
    <row r="10" spans="1:15" ht="15.75" thickBot="1" x14ac:dyDescent="0.3">
      <c r="A10" s="6"/>
      <c r="B10" s="130"/>
      <c r="C10" s="56"/>
      <c r="D10" s="56"/>
      <c r="E10" s="121">
        <f t="shared" si="0"/>
        <v>1</v>
      </c>
      <c r="F10" s="8"/>
      <c r="G10" s="8"/>
      <c r="H10" s="9">
        <f t="shared" si="1"/>
        <v>1</v>
      </c>
      <c r="I10" s="9">
        <f t="shared" si="2"/>
        <v>-2</v>
      </c>
      <c r="J10" s="10"/>
      <c r="K10" s="10">
        <f t="shared" si="3"/>
        <v>0</v>
      </c>
      <c r="L10" s="9"/>
      <c r="M10" s="10">
        <f t="shared" si="4"/>
        <v>0</v>
      </c>
      <c r="N10" s="10">
        <f t="shared" si="5"/>
        <v>0</v>
      </c>
      <c r="O10" s="11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3097.05</v>
      </c>
      <c r="O11" s="4"/>
    </row>
    <row r="12" spans="1:15" ht="15" customHeight="1" x14ac:dyDescent="0.25">
      <c r="A12" s="4"/>
      <c r="B12" s="4"/>
      <c r="C12" s="541" t="s">
        <v>13</v>
      </c>
      <c r="D12" s="542"/>
      <c r="E12" s="542"/>
      <c r="F12" s="542"/>
      <c r="G12" s="542"/>
      <c r="H12" s="542"/>
      <c r="I12" s="542"/>
      <c r="J12" s="542"/>
      <c r="K12" s="542"/>
      <c r="L12" s="542"/>
      <c r="M12" s="543"/>
      <c r="N12" s="4"/>
      <c r="O12" s="4"/>
    </row>
    <row r="13" spans="1:15" ht="15.75" customHeight="1" thickBot="1" x14ac:dyDescent="0.3">
      <c r="A13" s="4"/>
      <c r="B13" s="4"/>
      <c r="C13" s="544"/>
      <c r="D13" s="545"/>
      <c r="E13" s="545"/>
      <c r="F13" s="545"/>
      <c r="G13" s="545"/>
      <c r="H13" s="545"/>
      <c r="I13" s="545"/>
      <c r="J13" s="545"/>
      <c r="K13" s="545"/>
      <c r="L13" s="545"/>
      <c r="M13" s="546"/>
      <c r="N13" s="4"/>
      <c r="O13" s="19"/>
    </row>
    <row r="14" spans="1:15" ht="27" customHeight="1" thickBot="1" x14ac:dyDescent="0.3">
      <c r="A14" s="472" t="s">
        <v>6</v>
      </c>
      <c r="B14" s="472" t="s">
        <v>8</v>
      </c>
      <c r="C14" s="458" t="s">
        <v>37</v>
      </c>
      <c r="D14" s="459"/>
      <c r="E14" s="537" t="s">
        <v>7</v>
      </c>
      <c r="F14" s="460" t="s">
        <v>14</v>
      </c>
      <c r="G14" s="461"/>
      <c r="H14" s="45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472" t="s">
        <v>11</v>
      </c>
    </row>
    <row r="15" spans="1:15" ht="15.75" thickBot="1" x14ac:dyDescent="0.3">
      <c r="A15" s="473"/>
      <c r="B15" s="473"/>
      <c r="C15" s="54" t="s">
        <v>38</v>
      </c>
      <c r="D15" s="54" t="s">
        <v>39</v>
      </c>
      <c r="E15" s="538"/>
      <c r="F15" s="5" t="s">
        <v>0</v>
      </c>
      <c r="G15" s="25" t="s">
        <v>1</v>
      </c>
      <c r="H15" s="451"/>
      <c r="I15" s="24"/>
      <c r="J15" s="451"/>
      <c r="K15" s="451"/>
      <c r="L15" s="451"/>
      <c r="M15" s="451"/>
      <c r="N15" s="451"/>
      <c r="O15" s="473"/>
    </row>
    <row r="16" spans="1:15" x14ac:dyDescent="0.25">
      <c r="A16" s="21"/>
      <c r="B16" s="7"/>
      <c r="C16" s="56"/>
      <c r="D16" s="56"/>
      <c r="E16" s="66">
        <f>D16-C16+1</f>
        <v>1</v>
      </c>
      <c r="F16" s="8">
        <v>0</v>
      </c>
      <c r="G16" s="8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11"/>
    </row>
    <row r="17" spans="1:15" x14ac:dyDescent="0.25">
      <c r="A17" s="21">
        <v>1</v>
      </c>
      <c r="B17" s="7" t="s">
        <v>155</v>
      </c>
      <c r="C17" s="56">
        <v>45630</v>
      </c>
      <c r="D17" s="56">
        <v>45719</v>
      </c>
      <c r="E17" s="66">
        <f>D17-C17+1</f>
        <v>90</v>
      </c>
      <c r="F17" s="8">
        <v>45658</v>
      </c>
      <c r="G17" s="8">
        <v>45687</v>
      </c>
      <c r="H17" s="9">
        <f>G17-F17+1</f>
        <v>30</v>
      </c>
      <c r="I17" s="9"/>
      <c r="J17" s="10">
        <v>11619</v>
      </c>
      <c r="K17" s="10">
        <f>J17/30</f>
        <v>387.3</v>
      </c>
      <c r="L17" s="9">
        <f>+H17</f>
        <v>30</v>
      </c>
      <c r="M17" s="10">
        <f>K17*L17</f>
        <v>11619</v>
      </c>
      <c r="N17" s="10">
        <f>M17*0.9</f>
        <v>10457.1</v>
      </c>
      <c r="O17" s="11"/>
    </row>
    <row r="18" spans="1:15" ht="15.75" thickBot="1" x14ac:dyDescent="0.3">
      <c r="A18" s="21"/>
      <c r="B18" s="7"/>
      <c r="C18" s="56"/>
      <c r="D18" s="56"/>
      <c r="E18" s="66">
        <f>D18-C18+1</f>
        <v>1</v>
      </c>
      <c r="F18" s="8">
        <v>0</v>
      </c>
      <c r="G18" s="8">
        <v>0</v>
      </c>
      <c r="H18" s="9">
        <f>G18-F18+1</f>
        <v>1</v>
      </c>
      <c r="I18" s="9"/>
      <c r="J18" s="10">
        <v>0</v>
      </c>
      <c r="K18" s="10">
        <f>J18/30</f>
        <v>0</v>
      </c>
      <c r="L18" s="9">
        <v>0</v>
      </c>
      <c r="M18" s="10">
        <f>K18*L18</f>
        <v>0</v>
      </c>
      <c r="N18" s="10">
        <f>M18*0.9</f>
        <v>0</v>
      </c>
      <c r="O18" s="11"/>
    </row>
    <row r="19" spans="1:15" ht="15.75" thickBot="1" x14ac:dyDescent="0.3">
      <c r="A19" s="4"/>
      <c r="B19" s="18"/>
      <c r="C19" s="18"/>
      <c r="D19" s="18"/>
      <c r="E19" s="18"/>
      <c r="F19" s="18"/>
      <c r="G19" s="18"/>
      <c r="H19" s="18"/>
      <c r="I19" s="18"/>
      <c r="J19" s="18"/>
      <c r="K19" s="4"/>
      <c r="L19" s="4"/>
      <c r="M19" s="4"/>
      <c r="N19" s="27">
        <f>SUM(N16:N18)</f>
        <v>10457.1</v>
      </c>
      <c r="O19" s="4"/>
    </row>
    <row r="20" spans="1:15" ht="15" customHeight="1" x14ac:dyDescent="0.25">
      <c r="A20" s="4"/>
      <c r="B20" s="4"/>
      <c r="C20" s="541" t="s">
        <v>25</v>
      </c>
      <c r="D20" s="542"/>
      <c r="E20" s="542"/>
      <c r="F20" s="542"/>
      <c r="G20" s="542"/>
      <c r="H20" s="542"/>
      <c r="I20" s="542"/>
      <c r="J20" s="542"/>
      <c r="K20" s="542"/>
      <c r="L20" s="542"/>
      <c r="M20" s="543"/>
      <c r="N20" s="4"/>
      <c r="O20" s="4"/>
    </row>
    <row r="21" spans="1:15" ht="15.75" customHeight="1" thickBot="1" x14ac:dyDescent="0.3">
      <c r="A21" s="4"/>
      <c r="B21" s="4"/>
      <c r="C21" s="544"/>
      <c r="D21" s="545"/>
      <c r="E21" s="545"/>
      <c r="F21" s="545"/>
      <c r="G21" s="545"/>
      <c r="H21" s="599"/>
      <c r="I21" s="599"/>
      <c r="J21" s="545"/>
      <c r="K21" s="545"/>
      <c r="L21" s="545"/>
      <c r="M21" s="546"/>
      <c r="N21" s="4"/>
      <c r="O21" s="19"/>
    </row>
    <row r="22" spans="1:15" ht="24.75" customHeight="1" thickBot="1" x14ac:dyDescent="0.3">
      <c r="A22" s="472" t="s">
        <v>6</v>
      </c>
      <c r="B22" s="472" t="s">
        <v>8</v>
      </c>
      <c r="C22" s="458" t="s">
        <v>37</v>
      </c>
      <c r="D22" s="459"/>
      <c r="E22" s="537"/>
      <c r="F22" s="460" t="s">
        <v>14</v>
      </c>
      <c r="G22" s="584"/>
      <c r="H22" s="597" t="s">
        <v>7</v>
      </c>
      <c r="I22" s="208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472" t="s">
        <v>11</v>
      </c>
    </row>
    <row r="23" spans="1:15" ht="15.75" thickBot="1" x14ac:dyDescent="0.3">
      <c r="A23" s="473"/>
      <c r="B23" s="473"/>
      <c r="C23" s="54" t="s">
        <v>38</v>
      </c>
      <c r="D23" s="54" t="s">
        <v>39</v>
      </c>
      <c r="E23" s="538"/>
      <c r="F23" s="5" t="s">
        <v>0</v>
      </c>
      <c r="G23" s="25" t="s">
        <v>1</v>
      </c>
      <c r="H23" s="597"/>
      <c r="I23" s="15"/>
      <c r="J23" s="451"/>
      <c r="K23" s="451"/>
      <c r="L23" s="451"/>
      <c r="M23" s="451"/>
      <c r="N23" s="451"/>
      <c r="O23" s="473"/>
    </row>
    <row r="24" spans="1:15" x14ac:dyDescent="0.25">
      <c r="A24" s="21"/>
      <c r="B24" s="7"/>
      <c r="C24" s="56"/>
      <c r="D24" s="56"/>
      <c r="E24" s="55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x14ac:dyDescent="0.25">
      <c r="A25" s="21">
        <v>1</v>
      </c>
      <c r="B25" s="130"/>
      <c r="C25" s="199"/>
      <c r="D25" s="199"/>
      <c r="E25" s="7"/>
      <c r="F25" s="8"/>
      <c r="G25" s="203"/>
      <c r="H25" s="15">
        <f>G25-F25+1</f>
        <v>1</v>
      </c>
      <c r="I25" s="15"/>
      <c r="J25" s="10"/>
      <c r="K25" s="10">
        <f>J25/30</f>
        <v>0</v>
      </c>
      <c r="L25" s="9"/>
      <c r="M25" s="10">
        <f>K25*L25</f>
        <v>0</v>
      </c>
      <c r="N25" s="10">
        <f>M25*0.9</f>
        <v>0</v>
      </c>
      <c r="O25" s="11"/>
    </row>
    <row r="26" spans="1:15" ht="15.75" thickBot="1" x14ac:dyDescent="0.3">
      <c r="A26" s="21"/>
      <c r="B26" s="7"/>
      <c r="C26" s="7"/>
      <c r="D26" s="7"/>
      <c r="E26" s="7"/>
      <c r="F26" s="8"/>
      <c r="G26" s="203"/>
      <c r="H26" s="15">
        <f>G26-F26+1</f>
        <v>1</v>
      </c>
      <c r="I26" s="15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11"/>
    </row>
    <row r="27" spans="1:15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46"/>
    </row>
    <row r="28" spans="1:15" ht="15.75" thickBot="1" x14ac:dyDescent="0.3"/>
    <row r="29" spans="1:15" ht="16.5" thickBot="1" x14ac:dyDescent="0.3">
      <c r="K29" s="547" t="s">
        <v>26</v>
      </c>
      <c r="L29" s="548"/>
      <c r="M29" s="549"/>
      <c r="N29" s="186">
        <f>N11+N19+N27</f>
        <v>13554.150000000001</v>
      </c>
    </row>
  </sheetData>
  <mergeCells count="42">
    <mergeCell ref="C12:M13"/>
    <mergeCell ref="A3:O3"/>
    <mergeCell ref="C4:M4"/>
    <mergeCell ref="A5:A6"/>
    <mergeCell ref="B5:B6"/>
    <mergeCell ref="C5:D5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O5:O6"/>
    <mergeCell ref="O14:O15"/>
    <mergeCell ref="A14:A15"/>
    <mergeCell ref="B14:B15"/>
    <mergeCell ref="C14:D14"/>
    <mergeCell ref="E14:E15"/>
    <mergeCell ref="F14:G14"/>
    <mergeCell ref="H14:H15"/>
    <mergeCell ref="J14:J15"/>
    <mergeCell ref="K14:K15"/>
    <mergeCell ref="L14:L15"/>
    <mergeCell ref="M14:M15"/>
    <mergeCell ref="N14:N15"/>
    <mergeCell ref="A22:A23"/>
    <mergeCell ref="B22:B23"/>
    <mergeCell ref="C22:D22"/>
    <mergeCell ref="E22:E23"/>
    <mergeCell ref="F22:G22"/>
    <mergeCell ref="M22:M23"/>
    <mergeCell ref="N22:N23"/>
    <mergeCell ref="O22:O23"/>
    <mergeCell ref="K29:M29"/>
    <mergeCell ref="C20:M21"/>
    <mergeCell ref="H22:H23"/>
    <mergeCell ref="J22:J23"/>
    <mergeCell ref="K22:K23"/>
    <mergeCell ref="L22:L23"/>
  </mergeCells>
  <pageMargins left="0.9055118110236221" right="0.31496062992125984" top="0.74803149606299213" bottom="0.74803149606299213" header="0.31496062992125984" footer="0.31496062992125984"/>
  <pageSetup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6"/>
  <sheetViews>
    <sheetView zoomScale="130" zoomScaleNormal="130" workbookViewId="0">
      <selection activeCell="K6" sqref="K6"/>
    </sheetView>
  </sheetViews>
  <sheetFormatPr baseColWidth="10" defaultColWidth="11.42578125" defaultRowHeight="15" x14ac:dyDescent="0.25"/>
  <cols>
    <col min="1" max="1" width="3.5703125" customWidth="1"/>
    <col min="2" max="2" width="23" style="1" bestFit="1" customWidth="1"/>
    <col min="3" max="3" width="11.42578125" style="1"/>
    <col min="4" max="4" width="13.28515625" style="1" customWidth="1"/>
    <col min="5" max="5" width="4.85546875" style="1" customWidth="1"/>
    <col min="6" max="6" width="4.5703125" style="1" customWidth="1"/>
    <col min="7" max="9" width="11.42578125" style="1"/>
    <col min="10" max="10" width="9.7109375" customWidth="1"/>
    <col min="11" max="11" width="7.140625" customWidth="1"/>
    <col min="12" max="12" width="10" customWidth="1"/>
    <col min="14" max="14" width="18.28515625" customWidth="1"/>
  </cols>
  <sheetData>
    <row r="1" spans="1:14" ht="30.75" customHeight="1" thickBot="1" x14ac:dyDescent="0.5">
      <c r="A1" s="550" t="s">
        <v>55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spans="1:14" ht="30.75" customHeight="1" thickBot="1" x14ac:dyDescent="0.35">
      <c r="A2" s="4"/>
      <c r="B2" s="4"/>
      <c r="C2" s="551" t="s">
        <v>17</v>
      </c>
      <c r="D2" s="552"/>
      <c r="E2" s="552"/>
      <c r="F2" s="552"/>
      <c r="G2" s="552"/>
      <c r="H2" s="552"/>
      <c r="I2" s="552"/>
      <c r="J2" s="552"/>
      <c r="K2" s="552"/>
      <c r="L2" s="553"/>
      <c r="M2" s="4"/>
      <c r="N2" s="4"/>
    </row>
    <row r="3" spans="1:14" ht="28.5" customHeight="1" thickBot="1" x14ac:dyDescent="0.3">
      <c r="A3" s="490" t="s">
        <v>6</v>
      </c>
      <c r="B3" s="472" t="s">
        <v>8</v>
      </c>
      <c r="C3" s="494" t="s">
        <v>14</v>
      </c>
      <c r="D3" s="495"/>
      <c r="E3" s="464" t="s">
        <v>7</v>
      </c>
      <c r="F3" s="450"/>
      <c r="G3" s="600" t="s">
        <v>12</v>
      </c>
      <c r="H3" s="601"/>
      <c r="I3" s="464" t="s">
        <v>2</v>
      </c>
      <c r="J3" s="464" t="s">
        <v>3</v>
      </c>
      <c r="K3" s="464" t="s">
        <v>4</v>
      </c>
      <c r="L3" s="464" t="s">
        <v>5</v>
      </c>
      <c r="M3" s="498" t="s">
        <v>9</v>
      </c>
      <c r="N3" s="482" t="s">
        <v>11</v>
      </c>
    </row>
    <row r="4" spans="1:14" ht="15.75" thickBot="1" x14ac:dyDescent="0.3">
      <c r="A4" s="491"/>
      <c r="B4" s="473"/>
      <c r="C4" s="5" t="s">
        <v>0</v>
      </c>
      <c r="D4" s="25" t="s">
        <v>1</v>
      </c>
      <c r="E4" s="465"/>
      <c r="F4" s="451"/>
      <c r="G4" s="5" t="s">
        <v>0</v>
      </c>
      <c r="H4" s="5" t="s">
        <v>1</v>
      </c>
      <c r="I4" s="465"/>
      <c r="J4" s="465"/>
      <c r="K4" s="465"/>
      <c r="L4" s="465"/>
      <c r="M4" s="499"/>
      <c r="N4" s="483"/>
    </row>
    <row r="5" spans="1:14" x14ac:dyDescent="0.25">
      <c r="A5" s="6"/>
      <c r="B5" s="6"/>
      <c r="C5" s="8">
        <v>0</v>
      </c>
      <c r="D5" s="8">
        <v>0</v>
      </c>
      <c r="E5" s="9">
        <f>D5-C5+1</f>
        <v>1</v>
      </c>
      <c r="F5" s="9">
        <f>E5-3</f>
        <v>-2</v>
      </c>
      <c r="G5" s="8"/>
      <c r="H5" s="8"/>
      <c r="I5" s="10">
        <v>0</v>
      </c>
      <c r="J5" s="10">
        <f>I5/30</f>
        <v>0</v>
      </c>
      <c r="K5" s="9"/>
      <c r="L5" s="10">
        <f>J5*K5</f>
        <v>0</v>
      </c>
      <c r="M5" s="10">
        <f>L5*0.75</f>
        <v>0</v>
      </c>
      <c r="N5" s="11"/>
    </row>
    <row r="6" spans="1:14" x14ac:dyDescent="0.25">
      <c r="A6" s="6">
        <v>1</v>
      </c>
      <c r="B6" s="6"/>
      <c r="C6" s="8"/>
      <c r="D6" s="8"/>
      <c r="E6" s="9">
        <f>D6-C6+1</f>
        <v>1</v>
      </c>
      <c r="F6" s="9">
        <f>E6-3</f>
        <v>-2</v>
      </c>
      <c r="G6" s="8">
        <v>45714</v>
      </c>
      <c r="H6" s="8">
        <v>45716</v>
      </c>
      <c r="I6" s="10">
        <v>8831.75</v>
      </c>
      <c r="J6" s="10">
        <f>I6/30</f>
        <v>294.39166666666665</v>
      </c>
      <c r="K6" s="9"/>
      <c r="L6" s="10">
        <f>J6*K6</f>
        <v>0</v>
      </c>
      <c r="M6" s="10">
        <f>L6*0.75</f>
        <v>0</v>
      </c>
      <c r="N6" s="11"/>
    </row>
    <row r="7" spans="1:14" ht="15.75" thickBot="1" x14ac:dyDescent="0.3">
      <c r="A7" s="6"/>
      <c r="B7" s="29"/>
      <c r="C7" s="13">
        <v>0</v>
      </c>
      <c r="D7" s="13">
        <v>0</v>
      </c>
      <c r="E7" s="9">
        <f>D7-C7+1</f>
        <v>1</v>
      </c>
      <c r="F7" s="9">
        <f>E7-3</f>
        <v>-2</v>
      </c>
      <c r="G7" s="13"/>
      <c r="H7" s="13"/>
      <c r="I7" s="14">
        <v>0</v>
      </c>
      <c r="J7" s="10">
        <f>I7/30</f>
        <v>0</v>
      </c>
      <c r="K7" s="15"/>
      <c r="L7" s="10">
        <f>J7*K7</f>
        <v>0</v>
      </c>
      <c r="M7" s="10">
        <f>L7*0.75</f>
        <v>0</v>
      </c>
      <c r="N7" s="16"/>
    </row>
    <row r="8" spans="1:14" ht="15.75" thickBot="1" x14ac:dyDescent="0.3">
      <c r="A8" s="4"/>
      <c r="B8" s="18"/>
      <c r="C8" s="18"/>
      <c r="D8" s="18"/>
      <c r="E8" s="18"/>
      <c r="F8" s="18"/>
      <c r="G8" s="18"/>
      <c r="H8" s="18"/>
      <c r="I8" s="18"/>
      <c r="J8" s="4"/>
      <c r="K8" s="4"/>
      <c r="L8" s="4"/>
      <c r="M8" s="27">
        <f>SUM(M5:M7)</f>
        <v>0</v>
      </c>
      <c r="N8" s="4"/>
    </row>
    <row r="9" spans="1:14" x14ac:dyDescent="0.25">
      <c r="A9" s="4"/>
      <c r="B9" s="4"/>
      <c r="C9" s="541" t="s">
        <v>13</v>
      </c>
      <c r="D9" s="542"/>
      <c r="E9" s="542"/>
      <c r="F9" s="542"/>
      <c r="G9" s="542"/>
      <c r="H9" s="542"/>
      <c r="I9" s="542"/>
      <c r="J9" s="542"/>
      <c r="K9" s="542"/>
      <c r="L9" s="543"/>
      <c r="M9" s="4"/>
      <c r="N9" s="4"/>
    </row>
    <row r="10" spans="1:14" ht="15.75" thickBot="1" x14ac:dyDescent="0.3">
      <c r="A10" s="4"/>
      <c r="B10" s="4"/>
      <c r="C10" s="544"/>
      <c r="D10" s="545"/>
      <c r="E10" s="545"/>
      <c r="F10" s="545"/>
      <c r="G10" s="545"/>
      <c r="H10" s="545"/>
      <c r="I10" s="545"/>
      <c r="J10" s="545"/>
      <c r="K10" s="545"/>
      <c r="L10" s="546"/>
      <c r="M10" s="4"/>
      <c r="N10" s="19"/>
    </row>
    <row r="11" spans="1:14" ht="28.5" customHeight="1" thickBot="1" x14ac:dyDescent="0.3">
      <c r="A11" s="472" t="s">
        <v>6</v>
      </c>
      <c r="B11" s="472" t="s">
        <v>8</v>
      </c>
      <c r="C11" s="460" t="s">
        <v>14</v>
      </c>
      <c r="D11" s="461"/>
      <c r="E11" s="450" t="s">
        <v>7</v>
      </c>
      <c r="F11" s="20"/>
      <c r="G11" s="600" t="s">
        <v>12</v>
      </c>
      <c r="H11" s="601"/>
      <c r="I11" s="450" t="s">
        <v>2</v>
      </c>
      <c r="J11" s="450" t="s">
        <v>3</v>
      </c>
      <c r="K11" s="450" t="s">
        <v>4</v>
      </c>
      <c r="L11" s="450" t="s">
        <v>5</v>
      </c>
      <c r="M11" s="450" t="s">
        <v>10</v>
      </c>
      <c r="N11" s="472" t="s">
        <v>11</v>
      </c>
    </row>
    <row r="12" spans="1:14" ht="15.75" thickBot="1" x14ac:dyDescent="0.3">
      <c r="A12" s="473"/>
      <c r="B12" s="473"/>
      <c r="C12" s="5" t="s">
        <v>0</v>
      </c>
      <c r="D12" s="25" t="s">
        <v>1</v>
      </c>
      <c r="E12" s="451"/>
      <c r="F12" s="24"/>
      <c r="G12" s="5" t="s">
        <v>0</v>
      </c>
      <c r="H12" s="5" t="s">
        <v>1</v>
      </c>
      <c r="I12" s="451"/>
      <c r="J12" s="451"/>
      <c r="K12" s="451"/>
      <c r="L12" s="451"/>
      <c r="M12" s="451"/>
      <c r="N12" s="473"/>
    </row>
    <row r="13" spans="1:14" x14ac:dyDescent="0.25">
      <c r="A13" s="21"/>
      <c r="B13" s="6"/>
      <c r="C13" s="8">
        <v>0</v>
      </c>
      <c r="D13" s="8">
        <v>0</v>
      </c>
      <c r="E13" s="9">
        <f>D13-C13+1</f>
        <v>1</v>
      </c>
      <c r="F13" s="9"/>
      <c r="G13" s="8">
        <v>0</v>
      </c>
      <c r="H13" s="8">
        <v>0</v>
      </c>
      <c r="I13" s="10">
        <v>0</v>
      </c>
      <c r="J13" s="10">
        <f>I13/30</f>
        <v>0</v>
      </c>
      <c r="K13" s="9"/>
      <c r="L13" s="10">
        <f>J13*K13</f>
        <v>0</v>
      </c>
      <c r="M13" s="10">
        <f>L13*0.9</f>
        <v>0</v>
      </c>
      <c r="N13" s="7"/>
    </row>
    <row r="14" spans="1:14" x14ac:dyDescent="0.25">
      <c r="A14" s="21"/>
      <c r="B14" s="6"/>
      <c r="C14" s="8"/>
      <c r="D14" s="8"/>
      <c r="E14" s="9">
        <f>D14-C14+1</f>
        <v>1</v>
      </c>
      <c r="F14" s="9"/>
      <c r="G14" s="8"/>
      <c r="H14" s="8"/>
      <c r="I14" s="10">
        <v>0</v>
      </c>
      <c r="J14" s="10">
        <f>I14/30</f>
        <v>0</v>
      </c>
      <c r="K14" s="9"/>
      <c r="L14" s="10">
        <f>J14*K14</f>
        <v>0</v>
      </c>
      <c r="M14" s="10">
        <f>L14*0.9</f>
        <v>0</v>
      </c>
      <c r="N14" s="7"/>
    </row>
    <row r="15" spans="1:14" ht="15.75" thickBot="1" x14ac:dyDescent="0.3">
      <c r="A15" s="21"/>
      <c r="B15" s="6"/>
      <c r="C15" s="8"/>
      <c r="D15" s="8"/>
      <c r="E15" s="9">
        <f>D15-C15+1</f>
        <v>1</v>
      </c>
      <c r="F15" s="9"/>
      <c r="G15" s="8"/>
      <c r="H15" s="8"/>
      <c r="I15" s="10">
        <v>0</v>
      </c>
      <c r="J15" s="10">
        <f>I15/30</f>
        <v>0</v>
      </c>
      <c r="K15" s="9"/>
      <c r="L15" s="10">
        <f>J15*K15</f>
        <v>0</v>
      </c>
      <c r="M15" s="10">
        <f>L15*0.9</f>
        <v>0</v>
      </c>
      <c r="N15" s="7"/>
    </row>
    <row r="16" spans="1:14" ht="15.75" thickBot="1" x14ac:dyDescent="0.3">
      <c r="A16" s="4"/>
      <c r="B16" s="18"/>
      <c r="C16" s="18"/>
      <c r="D16" s="18"/>
      <c r="E16" s="18"/>
      <c r="F16" s="18"/>
      <c r="G16" s="18"/>
      <c r="H16" s="18"/>
      <c r="I16" s="18"/>
      <c r="J16" s="4"/>
      <c r="K16" s="4"/>
      <c r="L16" s="4"/>
      <c r="M16" s="27">
        <f>SUM(M13:M15)</f>
        <v>0</v>
      </c>
      <c r="N16" s="4"/>
    </row>
    <row r="17" spans="1:14" x14ac:dyDescent="0.25">
      <c r="A17" s="4"/>
      <c r="B17" s="4"/>
      <c r="C17" s="541" t="s">
        <v>25</v>
      </c>
      <c r="D17" s="542"/>
      <c r="E17" s="542"/>
      <c r="F17" s="542"/>
      <c r="G17" s="542"/>
      <c r="H17" s="542"/>
      <c r="I17" s="542"/>
      <c r="J17" s="542"/>
      <c r="K17" s="542"/>
      <c r="L17" s="543"/>
      <c r="M17" s="4"/>
      <c r="N17" s="4"/>
    </row>
    <row r="18" spans="1:14" ht="15.75" thickBot="1" x14ac:dyDescent="0.3">
      <c r="A18" s="4"/>
      <c r="B18" s="4"/>
      <c r="C18" s="544"/>
      <c r="D18" s="545"/>
      <c r="E18" s="545"/>
      <c r="F18" s="545"/>
      <c r="G18" s="545"/>
      <c r="H18" s="596"/>
      <c r="I18" s="596"/>
      <c r="J18" s="545"/>
      <c r="K18" s="545"/>
      <c r="L18" s="546"/>
      <c r="M18" s="4"/>
      <c r="N18" s="19"/>
    </row>
    <row r="19" spans="1:14" ht="27" customHeight="1" thickBot="1" x14ac:dyDescent="0.3">
      <c r="A19" s="472" t="s">
        <v>6</v>
      </c>
      <c r="B19" s="472" t="s">
        <v>8</v>
      </c>
      <c r="C19" s="460" t="s">
        <v>14</v>
      </c>
      <c r="D19" s="461"/>
      <c r="E19" s="450" t="s">
        <v>7</v>
      </c>
      <c r="F19" s="20"/>
      <c r="G19" s="534" t="s">
        <v>12</v>
      </c>
      <c r="H19" s="597"/>
      <c r="I19" s="597" t="s">
        <v>2</v>
      </c>
      <c r="J19" s="450" t="s">
        <v>3</v>
      </c>
      <c r="K19" s="450" t="s">
        <v>4</v>
      </c>
      <c r="L19" s="450" t="s">
        <v>5</v>
      </c>
      <c r="M19" s="450" t="s">
        <v>10</v>
      </c>
      <c r="N19" s="472" t="s">
        <v>11</v>
      </c>
    </row>
    <row r="20" spans="1:14" ht="15.75" thickBot="1" x14ac:dyDescent="0.3">
      <c r="A20" s="473"/>
      <c r="B20" s="473"/>
      <c r="C20" s="5" t="s">
        <v>0</v>
      </c>
      <c r="D20" s="25" t="s">
        <v>1</v>
      </c>
      <c r="E20" s="451"/>
      <c r="F20" s="24"/>
      <c r="G20" s="25" t="s">
        <v>0</v>
      </c>
      <c r="H20" s="208" t="s">
        <v>1</v>
      </c>
      <c r="I20" s="597"/>
      <c r="J20" s="451"/>
      <c r="K20" s="451"/>
      <c r="L20" s="451"/>
      <c r="M20" s="451"/>
      <c r="N20" s="473"/>
    </row>
    <row r="21" spans="1:14" x14ac:dyDescent="0.25">
      <c r="A21" s="21"/>
      <c r="B21" s="6"/>
      <c r="C21" s="8"/>
      <c r="D21" s="8"/>
      <c r="E21" s="9">
        <f>D21-C21+1</f>
        <v>1</v>
      </c>
      <c r="F21" s="9"/>
      <c r="G21" s="203"/>
      <c r="H21" s="13"/>
      <c r="I21" s="14">
        <v>0</v>
      </c>
      <c r="J21" s="10">
        <f>I21/30</f>
        <v>0</v>
      </c>
      <c r="K21" s="9">
        <v>0</v>
      </c>
      <c r="L21" s="10">
        <f>J21*K21</f>
        <v>0</v>
      </c>
      <c r="M21" s="10">
        <f>L21*0.9</f>
        <v>0</v>
      </c>
      <c r="N21" s="7"/>
    </row>
    <row r="22" spans="1:14" x14ac:dyDescent="0.25">
      <c r="A22" s="21"/>
      <c r="B22" s="6"/>
      <c r="C22" s="8"/>
      <c r="D22" s="8"/>
      <c r="E22" s="9">
        <f>D22-C22+1</f>
        <v>1</v>
      </c>
      <c r="F22" s="9"/>
      <c r="G22" s="203"/>
      <c r="H22" s="13"/>
      <c r="I22" s="14">
        <v>0</v>
      </c>
      <c r="J22" s="10">
        <f>I22/30</f>
        <v>0</v>
      </c>
      <c r="K22" s="9">
        <v>0</v>
      </c>
      <c r="L22" s="10">
        <f>J22*K22</f>
        <v>0</v>
      </c>
      <c r="M22" s="10">
        <f>L22*0.9</f>
        <v>0</v>
      </c>
      <c r="N22" s="7"/>
    </row>
    <row r="23" spans="1:14" ht="15.75" thickBot="1" x14ac:dyDescent="0.3">
      <c r="A23" s="21"/>
      <c r="B23" s="6"/>
      <c r="C23" s="8"/>
      <c r="D23" s="8"/>
      <c r="E23" s="9">
        <f>D23-C23+1</f>
        <v>1</v>
      </c>
      <c r="F23" s="9"/>
      <c r="G23" s="203"/>
      <c r="H23" s="13"/>
      <c r="I23" s="14">
        <v>0</v>
      </c>
      <c r="J23" s="10">
        <f>I23/30</f>
        <v>0</v>
      </c>
      <c r="K23" s="9">
        <v>0</v>
      </c>
      <c r="L23" s="10">
        <f>J23*K23</f>
        <v>0</v>
      </c>
      <c r="M23" s="10">
        <f>L23*0.9</f>
        <v>0</v>
      </c>
      <c r="N23" s="7"/>
    </row>
    <row r="24" spans="1:14" ht="15.75" thickBot="1" x14ac:dyDescent="0.3">
      <c r="A24" s="4"/>
      <c r="B24" s="18"/>
      <c r="C24" s="18"/>
      <c r="D24" s="18"/>
      <c r="E24" s="18"/>
      <c r="F24" s="18"/>
      <c r="G24" s="18"/>
      <c r="H24" s="15"/>
      <c r="I24" s="15"/>
      <c r="J24" s="4"/>
      <c r="K24" s="4"/>
      <c r="L24" s="4"/>
      <c r="M24" s="27">
        <f>SUM(M21:M23)</f>
        <v>0</v>
      </c>
      <c r="N24" s="4"/>
    </row>
    <row r="25" spans="1:14" ht="15.75" thickBot="1" x14ac:dyDescent="0.3"/>
    <row r="26" spans="1:14" ht="15.75" thickBot="1" x14ac:dyDescent="0.3">
      <c r="J26" s="547" t="s">
        <v>26</v>
      </c>
      <c r="K26" s="548"/>
      <c r="L26" s="549"/>
      <c r="M26" s="26">
        <f>M8+M16+M24</f>
        <v>0</v>
      </c>
    </row>
  </sheetData>
  <mergeCells count="39">
    <mergeCell ref="M3:M4"/>
    <mergeCell ref="N3:N4"/>
    <mergeCell ref="A1:N1"/>
    <mergeCell ref="C2:L2"/>
    <mergeCell ref="F3:F4"/>
    <mergeCell ref="A3:A4"/>
    <mergeCell ref="B3:B4"/>
    <mergeCell ref="C3:D3"/>
    <mergeCell ref="E3:E4"/>
    <mergeCell ref="G3:H3"/>
    <mergeCell ref="I3:I4"/>
    <mergeCell ref="J3:J4"/>
    <mergeCell ref="K3:K4"/>
    <mergeCell ref="L3:L4"/>
    <mergeCell ref="C9:L10"/>
    <mergeCell ref="A11:A12"/>
    <mergeCell ref="B11:B12"/>
    <mergeCell ref="C11:D11"/>
    <mergeCell ref="E11:E12"/>
    <mergeCell ref="G11:H11"/>
    <mergeCell ref="I11:I12"/>
    <mergeCell ref="J11:J12"/>
    <mergeCell ref="K11:K12"/>
    <mergeCell ref="L11:L12"/>
    <mergeCell ref="J26:L26"/>
    <mergeCell ref="M11:M12"/>
    <mergeCell ref="N11:N12"/>
    <mergeCell ref="C17:L18"/>
    <mergeCell ref="A19:A20"/>
    <mergeCell ref="B19:B20"/>
    <mergeCell ref="C19:D19"/>
    <mergeCell ref="E19:E20"/>
    <mergeCell ref="G19:H19"/>
    <mergeCell ref="I19:I20"/>
    <mergeCell ref="J19:J20"/>
    <mergeCell ref="K19:K20"/>
    <mergeCell ref="L19:L20"/>
    <mergeCell ref="M19:M20"/>
    <mergeCell ref="N19:N20"/>
  </mergeCells>
  <pageMargins left="0.7" right="0.7" top="0.75" bottom="0.75" header="0.3" footer="0.3"/>
  <pageSetup orientation="portrait" horizontalDpi="300" verticalDpi="18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8"/>
  <sheetViews>
    <sheetView view="pageBreakPreview" zoomScaleNormal="85" zoomScaleSheetLayoutView="100" workbookViewId="0">
      <selection activeCell="C18" sqref="C18:L19"/>
    </sheetView>
  </sheetViews>
  <sheetFormatPr baseColWidth="10" defaultColWidth="11.42578125" defaultRowHeight="15" x14ac:dyDescent="0.25"/>
  <cols>
    <col min="1" max="1" width="3.5703125" customWidth="1"/>
    <col min="2" max="2" width="26" style="1" customWidth="1"/>
    <col min="3" max="3" width="11.42578125" style="1"/>
    <col min="4" max="4" width="8.140625" style="1" bestFit="1" customWidth="1"/>
    <col min="5" max="5" width="4.85546875" style="1" customWidth="1"/>
    <col min="6" max="6" width="9.28515625" style="1" customWidth="1"/>
    <col min="7" max="9" width="11.42578125" style="1"/>
    <col min="10" max="10" width="9.7109375" customWidth="1"/>
    <col min="11" max="11" width="7.140625" customWidth="1"/>
    <col min="12" max="12" width="10" customWidth="1"/>
    <col min="14" max="14" width="17.28515625" bestFit="1" customWidth="1"/>
  </cols>
  <sheetData>
    <row r="1" spans="1:14" ht="41.25" customHeight="1" thickBot="1" x14ac:dyDescent="0.5">
      <c r="A1" s="602" t="s">
        <v>85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</row>
    <row r="2" spans="1:14" ht="34.5" customHeight="1" thickBot="1" x14ac:dyDescent="0.35">
      <c r="A2" s="4"/>
      <c r="B2" s="4"/>
      <c r="C2" s="551" t="s">
        <v>17</v>
      </c>
      <c r="D2" s="552"/>
      <c r="E2" s="552"/>
      <c r="F2" s="552"/>
      <c r="G2" s="552"/>
      <c r="H2" s="552"/>
      <c r="I2" s="552"/>
      <c r="J2" s="552"/>
      <c r="K2" s="552"/>
      <c r="L2" s="553"/>
      <c r="M2" s="4"/>
      <c r="N2" s="4"/>
    </row>
    <row r="3" spans="1:14" ht="27" customHeight="1" thickBot="1" x14ac:dyDescent="0.3">
      <c r="A3" s="490" t="s">
        <v>6</v>
      </c>
      <c r="B3" s="472" t="s">
        <v>8</v>
      </c>
      <c r="C3" s="494" t="s">
        <v>14</v>
      </c>
      <c r="D3" s="495"/>
      <c r="E3" s="464" t="s">
        <v>7</v>
      </c>
      <c r="F3" s="450"/>
      <c r="G3" s="600" t="s">
        <v>12</v>
      </c>
      <c r="H3" s="601"/>
      <c r="I3" s="464" t="s">
        <v>2</v>
      </c>
      <c r="J3" s="464" t="s">
        <v>3</v>
      </c>
      <c r="K3" s="464" t="s">
        <v>4</v>
      </c>
      <c r="L3" s="464" t="s">
        <v>5</v>
      </c>
      <c r="M3" s="498" t="s">
        <v>9</v>
      </c>
      <c r="N3" s="482" t="s">
        <v>11</v>
      </c>
    </row>
    <row r="4" spans="1:14" ht="15.75" thickBot="1" x14ac:dyDescent="0.3">
      <c r="A4" s="491"/>
      <c r="B4" s="473"/>
      <c r="C4" s="5" t="s">
        <v>0</v>
      </c>
      <c r="D4" s="25" t="s">
        <v>1</v>
      </c>
      <c r="E4" s="465"/>
      <c r="F4" s="451"/>
      <c r="G4" s="5" t="s">
        <v>0</v>
      </c>
      <c r="H4" s="5" t="s">
        <v>1</v>
      </c>
      <c r="I4" s="465"/>
      <c r="J4" s="465"/>
      <c r="K4" s="465"/>
      <c r="L4" s="465"/>
      <c r="M4" s="499"/>
      <c r="N4" s="483"/>
    </row>
    <row r="5" spans="1:14" x14ac:dyDescent="0.25">
      <c r="A5" s="6"/>
      <c r="B5" s="7"/>
      <c r="C5" s="8">
        <v>0</v>
      </c>
      <c r="D5" s="8">
        <v>0</v>
      </c>
      <c r="E5" s="9">
        <f>D5-C5+1</f>
        <v>1</v>
      </c>
      <c r="F5" s="9">
        <f>E5-3</f>
        <v>-2</v>
      </c>
      <c r="G5" s="8"/>
      <c r="H5" s="8"/>
      <c r="I5" s="10">
        <v>0</v>
      </c>
      <c r="J5" s="10">
        <f>I5/30</f>
        <v>0</v>
      </c>
      <c r="K5" s="9"/>
      <c r="L5" s="10">
        <f>J5*K5</f>
        <v>0</v>
      </c>
      <c r="M5" s="10">
        <f>L5*0.75</f>
        <v>0</v>
      </c>
      <c r="N5" s="11"/>
    </row>
    <row r="6" spans="1:14" x14ac:dyDescent="0.25">
      <c r="A6" s="6">
        <v>1</v>
      </c>
      <c r="B6" s="130"/>
      <c r="C6" s="8"/>
      <c r="D6" s="8"/>
      <c r="E6" s="9">
        <f>D6-C6+1</f>
        <v>1</v>
      </c>
      <c r="F6" s="9">
        <f>E6-3</f>
        <v>-2</v>
      </c>
      <c r="G6" s="8"/>
      <c r="H6" s="8"/>
      <c r="I6" s="10"/>
      <c r="J6" s="10">
        <f>I6/30</f>
        <v>0</v>
      </c>
      <c r="K6" s="9"/>
      <c r="L6" s="10">
        <f>J6*K6</f>
        <v>0</v>
      </c>
      <c r="M6" s="10">
        <f>L6*0.75</f>
        <v>0</v>
      </c>
      <c r="N6" s="11"/>
    </row>
    <row r="7" spans="1:14" x14ac:dyDescent="0.25">
      <c r="A7" s="6"/>
      <c r="B7" s="7"/>
      <c r="C7" s="8"/>
      <c r="D7" s="8"/>
      <c r="E7" s="9">
        <f>D7-C7+1</f>
        <v>1</v>
      </c>
      <c r="F7" s="9">
        <f>E7-3</f>
        <v>-2</v>
      </c>
      <c r="G7" s="8"/>
      <c r="H7" s="8"/>
      <c r="I7" s="10"/>
      <c r="J7" s="10">
        <f>I7/30</f>
        <v>0</v>
      </c>
      <c r="K7" s="9"/>
      <c r="L7" s="10">
        <f>J7*K7</f>
        <v>0</v>
      </c>
      <c r="M7" s="10">
        <f>L7*0.75</f>
        <v>0</v>
      </c>
      <c r="N7" s="11"/>
    </row>
    <row r="8" spans="1:14" ht="15.75" thickBot="1" x14ac:dyDescent="0.3">
      <c r="A8" s="6"/>
      <c r="B8" s="12"/>
      <c r="C8" s="13"/>
      <c r="D8" s="13"/>
      <c r="E8" s="9"/>
      <c r="F8" s="9"/>
      <c r="G8" s="13"/>
      <c r="H8" s="13"/>
      <c r="I8" s="14"/>
      <c r="J8" s="10">
        <f>I8/30</f>
        <v>0</v>
      </c>
      <c r="K8" s="15"/>
      <c r="L8" s="10">
        <f>J8*K8</f>
        <v>0</v>
      </c>
      <c r="M8" s="10">
        <f>L8*0.75</f>
        <v>0</v>
      </c>
      <c r="N8" s="17"/>
    </row>
    <row r="9" spans="1:14" ht="15.75" thickBot="1" x14ac:dyDescent="0.3">
      <c r="A9" s="4"/>
      <c r="B9" s="18"/>
      <c r="C9" s="18"/>
      <c r="D9" s="18"/>
      <c r="E9" s="18"/>
      <c r="F9" s="18"/>
      <c r="G9" s="18"/>
      <c r="H9" s="18"/>
      <c r="I9" s="18"/>
      <c r="J9" s="4"/>
      <c r="K9" s="4"/>
      <c r="L9" s="4"/>
      <c r="M9" s="27">
        <f>SUM(M6:M7)</f>
        <v>0</v>
      </c>
      <c r="N9" s="4"/>
    </row>
    <row r="10" spans="1:14" x14ac:dyDescent="0.25">
      <c r="A10" s="4"/>
      <c r="B10" s="4"/>
      <c r="C10" s="541" t="s">
        <v>13</v>
      </c>
      <c r="D10" s="542"/>
      <c r="E10" s="542"/>
      <c r="F10" s="542"/>
      <c r="G10" s="542"/>
      <c r="H10" s="542"/>
      <c r="I10" s="542"/>
      <c r="J10" s="542"/>
      <c r="K10" s="542"/>
      <c r="L10" s="543"/>
      <c r="M10" s="4"/>
      <c r="N10" s="4"/>
    </row>
    <row r="11" spans="1:14" ht="15.75" thickBot="1" x14ac:dyDescent="0.3">
      <c r="A11" s="4"/>
      <c r="B11" s="4"/>
      <c r="C11" s="544"/>
      <c r="D11" s="545"/>
      <c r="E11" s="545"/>
      <c r="F11" s="545"/>
      <c r="G11" s="545"/>
      <c r="H11" s="545"/>
      <c r="I11" s="545"/>
      <c r="J11" s="545"/>
      <c r="K11" s="545"/>
      <c r="L11" s="546"/>
      <c r="M11" s="4"/>
      <c r="N11" s="19"/>
    </row>
    <row r="12" spans="1:14" ht="25.5" customHeight="1" thickBot="1" x14ac:dyDescent="0.3">
      <c r="A12" s="472" t="s">
        <v>6</v>
      </c>
      <c r="B12" s="472" t="s">
        <v>8</v>
      </c>
      <c r="C12" s="460" t="s">
        <v>14</v>
      </c>
      <c r="D12" s="461"/>
      <c r="E12" s="450" t="s">
        <v>7</v>
      </c>
      <c r="F12" s="20"/>
      <c r="G12" s="600" t="s">
        <v>12</v>
      </c>
      <c r="H12" s="601"/>
      <c r="I12" s="450" t="s">
        <v>2</v>
      </c>
      <c r="J12" s="450" t="s">
        <v>3</v>
      </c>
      <c r="K12" s="450" t="s">
        <v>4</v>
      </c>
      <c r="L12" s="450" t="s">
        <v>5</v>
      </c>
      <c r="M12" s="450" t="s">
        <v>10</v>
      </c>
      <c r="N12" s="472" t="s">
        <v>11</v>
      </c>
    </row>
    <row r="13" spans="1:14" ht="15.75" thickBot="1" x14ac:dyDescent="0.3">
      <c r="A13" s="473"/>
      <c r="B13" s="473"/>
      <c r="C13" s="5" t="s">
        <v>0</v>
      </c>
      <c r="D13" s="25" t="s">
        <v>1</v>
      </c>
      <c r="E13" s="451"/>
      <c r="F13" s="24"/>
      <c r="G13" s="5" t="s">
        <v>0</v>
      </c>
      <c r="H13" s="5" t="s">
        <v>1</v>
      </c>
      <c r="I13" s="451"/>
      <c r="J13" s="451"/>
      <c r="K13" s="451"/>
      <c r="L13" s="451"/>
      <c r="M13" s="451"/>
      <c r="N13" s="473"/>
    </row>
    <row r="14" spans="1:14" x14ac:dyDescent="0.25">
      <c r="A14" s="21"/>
      <c r="B14" s="7"/>
      <c r="C14" s="8"/>
      <c r="D14" s="8"/>
      <c r="E14" s="9">
        <f>D14-C14+1</f>
        <v>1</v>
      </c>
      <c r="F14" s="9"/>
      <c r="G14" s="8"/>
      <c r="H14" s="8"/>
      <c r="I14" s="10">
        <v>0</v>
      </c>
      <c r="J14" s="10">
        <f>I14/30</f>
        <v>0</v>
      </c>
      <c r="K14" s="9"/>
      <c r="L14" s="10">
        <f>J14*K14</f>
        <v>0</v>
      </c>
      <c r="M14" s="10">
        <f>L14*0.9</f>
        <v>0</v>
      </c>
      <c r="N14" s="7"/>
    </row>
    <row r="15" spans="1:14" x14ac:dyDescent="0.25">
      <c r="A15" s="21">
        <v>1</v>
      </c>
      <c r="B15" s="7"/>
      <c r="C15" s="8"/>
      <c r="D15" s="8"/>
      <c r="E15" s="9">
        <f>D15-C15+1</f>
        <v>1</v>
      </c>
      <c r="F15" s="160">
        <f>+H15-G15+1</f>
        <v>1</v>
      </c>
      <c r="G15" s="8"/>
      <c r="H15" s="8"/>
      <c r="I15" s="10"/>
      <c r="J15" s="10">
        <f>I15/30</f>
        <v>0</v>
      </c>
      <c r="K15" s="9"/>
      <c r="L15" s="10">
        <f>J15*K15</f>
        <v>0</v>
      </c>
      <c r="M15" s="10">
        <f>L15*0.9</f>
        <v>0</v>
      </c>
      <c r="N15" s="7"/>
    </row>
    <row r="16" spans="1:14" ht="15.75" thickBot="1" x14ac:dyDescent="0.3">
      <c r="A16" s="21"/>
      <c r="B16" s="7"/>
      <c r="C16" s="8"/>
      <c r="D16" s="8"/>
      <c r="E16" s="9">
        <f>D16-C16+1</f>
        <v>1</v>
      </c>
      <c r="F16" s="9"/>
      <c r="G16" s="8"/>
      <c r="H16" s="8"/>
      <c r="I16" s="10">
        <v>0</v>
      </c>
      <c r="J16" s="10">
        <f>I16/30</f>
        <v>0</v>
      </c>
      <c r="K16" s="9"/>
      <c r="L16" s="10">
        <f>J16*K16</f>
        <v>0</v>
      </c>
      <c r="M16" s="10">
        <f>L16*0.9</f>
        <v>0</v>
      </c>
      <c r="N16" s="7"/>
    </row>
    <row r="17" spans="1:14" ht="15.75" thickBot="1" x14ac:dyDescent="0.3">
      <c r="A17" s="4"/>
      <c r="B17" s="18"/>
      <c r="C17" s="18"/>
      <c r="D17" s="18"/>
      <c r="E17" s="18"/>
      <c r="F17" s="18"/>
      <c r="G17" s="18"/>
      <c r="H17" s="18"/>
      <c r="I17" s="18"/>
      <c r="J17" s="4"/>
      <c r="K17" s="4"/>
      <c r="L17" s="4"/>
      <c r="M17" s="27">
        <f>SUM(M14:M16)</f>
        <v>0</v>
      </c>
      <c r="N17" s="4"/>
    </row>
    <row r="18" spans="1:14" x14ac:dyDescent="0.25">
      <c r="A18" s="4"/>
      <c r="B18" s="4"/>
      <c r="C18" s="541" t="s">
        <v>25</v>
      </c>
      <c r="D18" s="542"/>
      <c r="E18" s="542"/>
      <c r="F18" s="542"/>
      <c r="G18" s="542"/>
      <c r="H18" s="542"/>
      <c r="I18" s="542"/>
      <c r="J18" s="542"/>
      <c r="K18" s="542"/>
      <c r="L18" s="543"/>
      <c r="M18" s="4"/>
      <c r="N18" s="4"/>
    </row>
    <row r="19" spans="1:14" ht="15.75" thickBot="1" x14ac:dyDescent="0.3">
      <c r="A19" s="4"/>
      <c r="B19" s="4"/>
      <c r="C19" s="544"/>
      <c r="D19" s="545"/>
      <c r="E19" s="545"/>
      <c r="F19" s="545"/>
      <c r="G19" s="545"/>
      <c r="H19" s="599"/>
      <c r="I19" s="599"/>
      <c r="J19" s="545"/>
      <c r="K19" s="545"/>
      <c r="L19" s="546"/>
      <c r="M19" s="4"/>
      <c r="N19" s="19"/>
    </row>
    <row r="20" spans="1:14" ht="32.25" customHeight="1" thickBot="1" x14ac:dyDescent="0.3">
      <c r="A20" s="472" t="s">
        <v>6</v>
      </c>
      <c r="B20" s="472" t="s">
        <v>8</v>
      </c>
      <c r="C20" s="460" t="s">
        <v>14</v>
      </c>
      <c r="D20" s="461"/>
      <c r="E20" s="450" t="s">
        <v>7</v>
      </c>
      <c r="F20" s="20"/>
      <c r="G20" s="534" t="s">
        <v>12</v>
      </c>
      <c r="H20" s="597"/>
      <c r="I20" s="597" t="s">
        <v>2</v>
      </c>
      <c r="J20" s="450" t="s">
        <v>3</v>
      </c>
      <c r="K20" s="450" t="s">
        <v>4</v>
      </c>
      <c r="L20" s="450" t="s">
        <v>5</v>
      </c>
      <c r="M20" s="450" t="s">
        <v>10</v>
      </c>
      <c r="N20" s="472" t="s">
        <v>11</v>
      </c>
    </row>
    <row r="21" spans="1:14" ht="15.75" thickBot="1" x14ac:dyDescent="0.3">
      <c r="A21" s="473"/>
      <c r="B21" s="473"/>
      <c r="C21" s="5" t="s">
        <v>0</v>
      </c>
      <c r="D21" s="25" t="s">
        <v>1</v>
      </c>
      <c r="E21" s="451"/>
      <c r="F21" s="24"/>
      <c r="G21" s="25" t="s">
        <v>0</v>
      </c>
      <c r="H21" s="208" t="s">
        <v>1</v>
      </c>
      <c r="I21" s="597"/>
      <c r="J21" s="451"/>
      <c r="K21" s="451"/>
      <c r="L21" s="451"/>
      <c r="M21" s="451"/>
      <c r="N21" s="473"/>
    </row>
    <row r="22" spans="1:14" x14ac:dyDescent="0.25">
      <c r="A22" s="21"/>
      <c r="B22" s="7"/>
      <c r="C22" s="8"/>
      <c r="D22" s="8"/>
      <c r="E22" s="9"/>
      <c r="F22" s="9"/>
      <c r="G22" s="203"/>
      <c r="H22" s="13"/>
      <c r="I22" s="14">
        <v>0</v>
      </c>
      <c r="J22" s="10">
        <f>I22/30</f>
        <v>0</v>
      </c>
      <c r="K22" s="9"/>
      <c r="L22" s="10">
        <f>J22*K22</f>
        <v>0</v>
      </c>
      <c r="M22" s="10">
        <f>L22*0.9</f>
        <v>0</v>
      </c>
      <c r="N22" s="7"/>
    </row>
    <row r="23" spans="1:14" x14ac:dyDescent="0.25">
      <c r="A23" s="21"/>
      <c r="B23" s="130"/>
      <c r="C23" s="8"/>
      <c r="D23" s="8"/>
      <c r="E23" s="9">
        <f>D23-C23+1</f>
        <v>1</v>
      </c>
      <c r="F23" s="8"/>
      <c r="G23" s="8"/>
      <c r="H23" s="8"/>
      <c r="I23" s="10"/>
      <c r="J23" s="10">
        <f>I23/30</f>
        <v>0</v>
      </c>
      <c r="K23" s="9"/>
      <c r="L23" s="10">
        <f>+J23*K23</f>
        <v>0</v>
      </c>
      <c r="M23" s="10">
        <f>L23*0.9</f>
        <v>0</v>
      </c>
      <c r="N23" s="7"/>
    </row>
    <row r="24" spans="1:14" x14ac:dyDescent="0.25">
      <c r="A24" s="21"/>
      <c r="B24" s="22"/>
      <c r="C24" s="8"/>
      <c r="D24" s="8"/>
      <c r="E24" s="9">
        <f>D24-C24+1</f>
        <v>1</v>
      </c>
      <c r="F24" s="9"/>
      <c r="G24" s="203"/>
      <c r="H24" s="13"/>
      <c r="I24" s="14"/>
      <c r="J24" s="10">
        <f>I24/30</f>
        <v>0</v>
      </c>
      <c r="K24" s="9"/>
      <c r="L24" s="10"/>
      <c r="M24" s="10">
        <f>L24*0.9</f>
        <v>0</v>
      </c>
      <c r="N24" s="7"/>
    </row>
    <row r="25" spans="1:14" ht="15.75" thickBot="1" x14ac:dyDescent="0.3">
      <c r="A25" s="21"/>
      <c r="B25" s="7"/>
      <c r="C25" s="8"/>
      <c r="D25" s="8"/>
      <c r="E25" s="9">
        <f>D25-C25+1</f>
        <v>1</v>
      </c>
      <c r="F25" s="9"/>
      <c r="G25" s="8"/>
      <c r="H25" s="8"/>
      <c r="I25" s="10"/>
      <c r="J25" s="10">
        <f>I25/30</f>
        <v>0</v>
      </c>
      <c r="K25" s="9"/>
      <c r="L25" s="10"/>
      <c r="M25" s="10">
        <f>L25*0.9</f>
        <v>0</v>
      </c>
      <c r="N25" s="7"/>
    </row>
    <row r="26" spans="1:14" ht="15.75" thickBot="1" x14ac:dyDescent="0.3">
      <c r="A26" s="4"/>
      <c r="B26" s="18"/>
      <c r="C26" s="18"/>
      <c r="D26" s="18"/>
      <c r="E26" s="18"/>
      <c r="F26" s="18"/>
      <c r="G26" s="18"/>
      <c r="H26" s="18"/>
      <c r="I26" s="18"/>
      <c r="J26" s="4"/>
      <c r="K26" s="4"/>
      <c r="L26" s="4"/>
      <c r="M26" s="27">
        <f>SUM(M22:M25)</f>
        <v>0</v>
      </c>
      <c r="N26" s="114"/>
    </row>
    <row r="27" spans="1:14" ht="15.75" thickBot="1" x14ac:dyDescent="0.3"/>
    <row r="28" spans="1:14" ht="15.75" thickBot="1" x14ac:dyDescent="0.3">
      <c r="J28" s="547" t="s">
        <v>26</v>
      </c>
      <c r="K28" s="548"/>
      <c r="L28" s="549"/>
      <c r="M28" s="28">
        <f>M9+M17+M26</f>
        <v>0</v>
      </c>
    </row>
  </sheetData>
  <mergeCells count="39">
    <mergeCell ref="M3:M4"/>
    <mergeCell ref="N3:N4"/>
    <mergeCell ref="A1:N1"/>
    <mergeCell ref="C2:L2"/>
    <mergeCell ref="F3:F4"/>
    <mergeCell ref="A3:A4"/>
    <mergeCell ref="B3:B4"/>
    <mergeCell ref="C3:D3"/>
    <mergeCell ref="E3:E4"/>
    <mergeCell ref="G3:H3"/>
    <mergeCell ref="I3:I4"/>
    <mergeCell ref="J3:J4"/>
    <mergeCell ref="K3:K4"/>
    <mergeCell ref="L3:L4"/>
    <mergeCell ref="C10:L11"/>
    <mergeCell ref="A12:A13"/>
    <mergeCell ref="B12:B13"/>
    <mergeCell ref="C12:D12"/>
    <mergeCell ref="E12:E13"/>
    <mergeCell ref="G12:H12"/>
    <mergeCell ref="I12:I13"/>
    <mergeCell ref="J12:J13"/>
    <mergeCell ref="K12:K13"/>
    <mergeCell ref="L12:L13"/>
    <mergeCell ref="J28:L28"/>
    <mergeCell ref="M12:M13"/>
    <mergeCell ref="N12:N13"/>
    <mergeCell ref="C18:L19"/>
    <mergeCell ref="A20:A21"/>
    <mergeCell ref="B20:B21"/>
    <mergeCell ref="C20:D20"/>
    <mergeCell ref="E20:E21"/>
    <mergeCell ref="G20:H20"/>
    <mergeCell ref="I20:I21"/>
    <mergeCell ref="J20:J21"/>
    <mergeCell ref="K20:K21"/>
    <mergeCell ref="L20:L21"/>
    <mergeCell ref="M20:M21"/>
    <mergeCell ref="N20:N21"/>
  </mergeCells>
  <pageMargins left="0.33" right="0.46" top="0.74803149606299213" bottom="0.74803149606299213" header="0.31496062992125984" footer="0.31496062992125984"/>
  <pageSetup scale="85" orientation="landscape" horizontalDpi="180" verticalDpi="18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8"/>
  <sheetViews>
    <sheetView view="pageBreakPreview" zoomScale="115" zoomScaleNormal="70" zoomScaleSheetLayoutView="115" workbookViewId="0">
      <selection activeCell="M8" sqref="M8"/>
    </sheetView>
  </sheetViews>
  <sheetFormatPr baseColWidth="10" defaultColWidth="11.42578125" defaultRowHeight="15" x14ac:dyDescent="0.25"/>
  <cols>
    <col min="1" max="1" width="3.5703125" customWidth="1"/>
    <col min="2" max="2" width="34.85546875" style="1" bestFit="1" customWidth="1"/>
    <col min="3" max="4" width="9.140625" style="1" bestFit="1" customWidth="1"/>
    <col min="5" max="5" width="4.85546875" style="1" customWidth="1"/>
    <col min="6" max="6" width="4.5703125" style="1" customWidth="1"/>
    <col min="7" max="8" width="9.140625" style="1" bestFit="1" customWidth="1"/>
    <col min="9" max="9" width="4.85546875" style="274" customWidth="1"/>
    <col min="10" max="10" width="4.5703125" style="274" customWidth="1"/>
    <col min="11" max="11" width="11.42578125" style="1"/>
    <col min="12" max="12" width="9.7109375" customWidth="1"/>
    <col min="13" max="13" width="7.140625" customWidth="1"/>
    <col min="14" max="14" width="10" customWidth="1"/>
    <col min="16" max="16" width="17.28515625" bestFit="1" customWidth="1"/>
  </cols>
  <sheetData>
    <row r="1" spans="1:16" x14ac:dyDescent="0.25">
      <c r="B1" s="274" t="s">
        <v>46</v>
      </c>
      <c r="C1" s="274"/>
      <c r="D1" s="274"/>
      <c r="E1" s="274"/>
      <c r="F1" s="274"/>
      <c r="G1" s="274"/>
      <c r="H1" s="274"/>
      <c r="K1" s="274"/>
    </row>
    <row r="2" spans="1:16" x14ac:dyDescent="0.25">
      <c r="B2" s="274" t="s">
        <v>47</v>
      </c>
      <c r="C2" s="274"/>
      <c r="D2" s="274"/>
      <c r="E2" s="274"/>
      <c r="F2" s="274"/>
      <c r="G2" s="274"/>
      <c r="H2" s="274"/>
      <c r="K2" s="274"/>
      <c r="N2" t="s">
        <v>81</v>
      </c>
      <c r="P2" t="s">
        <v>91</v>
      </c>
    </row>
    <row r="3" spans="1:16" ht="42" customHeight="1" thickBot="1" x14ac:dyDescent="0.5">
      <c r="A3" s="550" t="s">
        <v>95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  <c r="P3" s="550"/>
    </row>
    <row r="4" spans="1:16" ht="26.25" customHeight="1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2"/>
      <c r="N4" s="553"/>
      <c r="O4" s="4"/>
      <c r="P4" s="4"/>
    </row>
    <row r="5" spans="1:16" ht="25.5" customHeight="1" thickBot="1" x14ac:dyDescent="0.3">
      <c r="A5" s="490" t="s">
        <v>6</v>
      </c>
      <c r="B5" s="472" t="s">
        <v>8</v>
      </c>
      <c r="C5" s="494" t="s">
        <v>14</v>
      </c>
      <c r="D5" s="495"/>
      <c r="E5" s="464" t="s">
        <v>7</v>
      </c>
      <c r="F5" s="450"/>
      <c r="G5" s="603" t="s">
        <v>12</v>
      </c>
      <c r="H5" s="604"/>
      <c r="I5" s="464" t="s">
        <v>7</v>
      </c>
      <c r="J5" s="450"/>
      <c r="K5" s="464" t="s">
        <v>2</v>
      </c>
      <c r="L5" s="464" t="s">
        <v>3</v>
      </c>
      <c r="M5" s="464" t="s">
        <v>4</v>
      </c>
      <c r="N5" s="464" t="s">
        <v>5</v>
      </c>
      <c r="O5" s="498" t="s">
        <v>9</v>
      </c>
      <c r="P5" s="482" t="s">
        <v>11</v>
      </c>
    </row>
    <row r="6" spans="1:16" ht="15.75" thickBot="1" x14ac:dyDescent="0.3">
      <c r="A6" s="491"/>
      <c r="B6" s="473"/>
      <c r="C6" s="5" t="s">
        <v>0</v>
      </c>
      <c r="D6" s="25" t="s">
        <v>1</v>
      </c>
      <c r="E6" s="465"/>
      <c r="F6" s="451"/>
      <c r="G6" s="5" t="s">
        <v>0</v>
      </c>
      <c r="H6" s="5" t="s">
        <v>1</v>
      </c>
      <c r="I6" s="465"/>
      <c r="J6" s="451"/>
      <c r="K6" s="465"/>
      <c r="L6" s="465"/>
      <c r="M6" s="465"/>
      <c r="N6" s="465"/>
      <c r="O6" s="499"/>
      <c r="P6" s="483"/>
    </row>
    <row r="7" spans="1:16" x14ac:dyDescent="0.25">
      <c r="A7" s="6"/>
      <c r="B7" s="7"/>
      <c r="C7" s="8">
        <v>0</v>
      </c>
      <c r="D7" s="8">
        <v>0</v>
      </c>
      <c r="E7" s="9">
        <f>D7-C7+1</f>
        <v>1</v>
      </c>
      <c r="F7" s="9">
        <f>E7-3</f>
        <v>-2</v>
      </c>
      <c r="G7" s="8"/>
      <c r="H7" s="8"/>
      <c r="I7" s="9">
        <f>H7-G7+1</f>
        <v>1</v>
      </c>
      <c r="J7" s="9">
        <f>I7-3</f>
        <v>-2</v>
      </c>
      <c r="K7" s="10">
        <v>0</v>
      </c>
      <c r="L7" s="10">
        <f>K7/30</f>
        <v>0</v>
      </c>
      <c r="M7" s="9">
        <v>0</v>
      </c>
      <c r="N7" s="10">
        <f>L7*M7</f>
        <v>0</v>
      </c>
      <c r="O7" s="10">
        <f>N7*0.75</f>
        <v>0</v>
      </c>
      <c r="P7" s="30"/>
    </row>
    <row r="8" spans="1:16" x14ac:dyDescent="0.25">
      <c r="A8" s="6">
        <v>1</v>
      </c>
      <c r="B8" s="129" t="s">
        <v>97</v>
      </c>
      <c r="C8" s="13"/>
      <c r="D8" s="13"/>
      <c r="E8" s="9">
        <f>D8-C8+1</f>
        <v>1</v>
      </c>
      <c r="F8" s="9">
        <f>E8-3</f>
        <v>-2</v>
      </c>
      <c r="G8" s="13">
        <v>45475</v>
      </c>
      <c r="H8" s="13">
        <v>45488</v>
      </c>
      <c r="I8" s="9">
        <f>H8-G8+1</f>
        <v>14</v>
      </c>
      <c r="J8" s="9">
        <f>I8-3</f>
        <v>11</v>
      </c>
      <c r="K8" s="14">
        <v>4590</v>
      </c>
      <c r="L8" s="14">
        <f>K8/30</f>
        <v>153</v>
      </c>
      <c r="M8" s="15"/>
      <c r="N8" s="14">
        <f>L8*M8</f>
        <v>0</v>
      </c>
      <c r="O8" s="14">
        <f>N8*0.75</f>
        <v>0</v>
      </c>
      <c r="P8" s="16"/>
    </row>
    <row r="9" spans="1:16" ht="15.75" thickBot="1" x14ac:dyDescent="0.3">
      <c r="A9" s="6"/>
      <c r="B9" s="12"/>
      <c r="C9" s="13"/>
      <c r="D9" s="13"/>
      <c r="E9" s="9">
        <f>D9-C9+1</f>
        <v>1</v>
      </c>
      <c r="F9" s="9">
        <f>E9-3</f>
        <v>-2</v>
      </c>
      <c r="G9" s="13"/>
      <c r="H9" s="13"/>
      <c r="I9" s="9">
        <f>H9-G9+1</f>
        <v>1</v>
      </c>
      <c r="J9" s="9">
        <f>I9-3</f>
        <v>-2</v>
      </c>
      <c r="K9" s="14">
        <v>0</v>
      </c>
      <c r="L9" s="14">
        <f>K9/30</f>
        <v>0</v>
      </c>
      <c r="M9" s="15"/>
      <c r="N9" s="14">
        <f>L9*M9</f>
        <v>0</v>
      </c>
      <c r="O9" s="14">
        <f>N9*0.75</f>
        <v>0</v>
      </c>
      <c r="P9" s="16"/>
    </row>
    <row r="10" spans="1:16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4"/>
      <c r="M10" s="4"/>
      <c r="N10" s="4"/>
      <c r="O10" s="27">
        <f>SUM(O7:O9)</f>
        <v>0</v>
      </c>
      <c r="P10" s="4"/>
    </row>
    <row r="11" spans="1:16" x14ac:dyDescent="0.25">
      <c r="A11" s="4"/>
      <c r="B11" s="4"/>
      <c r="C11" s="541" t="s">
        <v>13</v>
      </c>
      <c r="D11" s="542"/>
      <c r="E11" s="542"/>
      <c r="F11" s="542"/>
      <c r="G11" s="542"/>
      <c r="H11" s="542"/>
      <c r="I11" s="542"/>
      <c r="J11" s="542"/>
      <c r="K11" s="542"/>
      <c r="L11" s="542"/>
      <c r="M11" s="542"/>
      <c r="N11" s="543"/>
      <c r="O11" s="4"/>
      <c r="P11" s="4"/>
    </row>
    <row r="12" spans="1:16" ht="15.75" thickBot="1" x14ac:dyDescent="0.3">
      <c r="A12" s="4"/>
      <c r="B12" s="4"/>
      <c r="C12" s="544"/>
      <c r="D12" s="545"/>
      <c r="E12" s="545"/>
      <c r="F12" s="545"/>
      <c r="G12" s="545"/>
      <c r="H12" s="545"/>
      <c r="I12" s="545"/>
      <c r="J12" s="545"/>
      <c r="K12" s="545"/>
      <c r="L12" s="545"/>
      <c r="M12" s="545"/>
      <c r="N12" s="546"/>
      <c r="O12" s="4"/>
      <c r="P12" s="19"/>
    </row>
    <row r="13" spans="1:16" ht="24.75" customHeight="1" thickBot="1" x14ac:dyDescent="0.3">
      <c r="A13" s="472" t="s">
        <v>6</v>
      </c>
      <c r="B13" s="472" t="s">
        <v>8</v>
      </c>
      <c r="C13" s="460" t="s">
        <v>14</v>
      </c>
      <c r="D13" s="461"/>
      <c r="E13" s="450" t="s">
        <v>7</v>
      </c>
      <c r="F13" s="20"/>
      <c r="G13" s="600" t="s">
        <v>12</v>
      </c>
      <c r="H13" s="601"/>
      <c r="I13" s="450" t="s">
        <v>7</v>
      </c>
      <c r="J13" s="275"/>
      <c r="K13" s="450" t="s">
        <v>2</v>
      </c>
      <c r="L13" s="450" t="s">
        <v>3</v>
      </c>
      <c r="M13" s="450" t="s">
        <v>4</v>
      </c>
      <c r="N13" s="450" t="s">
        <v>5</v>
      </c>
      <c r="O13" s="450" t="s">
        <v>10</v>
      </c>
      <c r="P13" s="472" t="s">
        <v>11</v>
      </c>
    </row>
    <row r="14" spans="1:16" ht="15.75" thickBot="1" x14ac:dyDescent="0.3">
      <c r="A14" s="473"/>
      <c r="B14" s="473"/>
      <c r="C14" s="5" t="s">
        <v>0</v>
      </c>
      <c r="D14" s="25" t="s">
        <v>1</v>
      </c>
      <c r="E14" s="451"/>
      <c r="F14" s="24"/>
      <c r="G14" s="5" t="s">
        <v>0</v>
      </c>
      <c r="H14" s="5" t="s">
        <v>1</v>
      </c>
      <c r="I14" s="451"/>
      <c r="J14" s="273"/>
      <c r="K14" s="451"/>
      <c r="L14" s="451"/>
      <c r="M14" s="451"/>
      <c r="N14" s="451"/>
      <c r="O14" s="451"/>
      <c r="P14" s="473"/>
    </row>
    <row r="15" spans="1:16" x14ac:dyDescent="0.25">
      <c r="A15" s="21"/>
      <c r="B15" s="7"/>
      <c r="C15" s="8"/>
      <c r="D15" s="8"/>
      <c r="E15" s="9">
        <f>D15-C15+1</f>
        <v>1</v>
      </c>
      <c r="F15" s="9"/>
      <c r="G15" s="8"/>
      <c r="H15" s="8"/>
      <c r="I15" s="9">
        <f>H15-G15+1</f>
        <v>1</v>
      </c>
      <c r="J15" s="9"/>
      <c r="K15" s="10">
        <v>0</v>
      </c>
      <c r="L15" s="10">
        <f>K15/30</f>
        <v>0</v>
      </c>
      <c r="M15" s="9"/>
      <c r="N15" s="10">
        <f>L15*M15</f>
        <v>0</v>
      </c>
      <c r="O15" s="10">
        <f>N15*0.9</f>
        <v>0</v>
      </c>
      <c r="P15" s="11"/>
    </row>
    <row r="16" spans="1:16" x14ac:dyDescent="0.25">
      <c r="A16" s="21">
        <v>1</v>
      </c>
      <c r="B16" s="7"/>
      <c r="C16" s="8"/>
      <c r="D16" s="8"/>
      <c r="E16" s="9">
        <f>D16-C16+1</f>
        <v>1</v>
      </c>
      <c r="F16" s="8"/>
      <c r="G16" s="8"/>
      <c r="H16" s="8"/>
      <c r="I16" s="9">
        <f>H16-G16+1</f>
        <v>1</v>
      </c>
      <c r="J16" s="8"/>
      <c r="K16" s="10"/>
      <c r="L16" s="10">
        <f>K16/30</f>
        <v>0</v>
      </c>
      <c r="M16" s="211"/>
      <c r="N16" s="10">
        <f>L16*M16</f>
        <v>0</v>
      </c>
      <c r="O16" s="10">
        <f>N16*0.9</f>
        <v>0</v>
      </c>
      <c r="P16" s="11"/>
    </row>
    <row r="17" spans="1:16" ht="15.75" thickBot="1" x14ac:dyDescent="0.3">
      <c r="A17" s="21"/>
      <c r="B17" s="7"/>
      <c r="C17" s="8"/>
      <c r="D17" s="8"/>
      <c r="E17" s="9">
        <f>D17-C17+1</f>
        <v>1</v>
      </c>
      <c r="F17" s="9"/>
      <c r="G17" s="8"/>
      <c r="H17" s="8"/>
      <c r="I17" s="9">
        <f>H17-G17+1</f>
        <v>1</v>
      </c>
      <c r="J17" s="9"/>
      <c r="K17" s="10">
        <v>0</v>
      </c>
      <c r="L17" s="10">
        <f>K17/30</f>
        <v>0</v>
      </c>
      <c r="M17" s="9"/>
      <c r="N17" s="10">
        <f>L17*M17</f>
        <v>0</v>
      </c>
      <c r="O17" s="10">
        <f>N17*0.9</f>
        <v>0</v>
      </c>
      <c r="P17" s="11"/>
    </row>
    <row r="18" spans="1:16" ht="15.75" thickBot="1" x14ac:dyDescent="0.3">
      <c r="A18" s="4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4"/>
      <c r="M18" s="4"/>
      <c r="N18" s="4"/>
      <c r="O18" s="27">
        <f>SUM(O15:O17)</f>
        <v>0</v>
      </c>
      <c r="P18" s="31"/>
    </row>
    <row r="19" spans="1:16" x14ac:dyDescent="0.25">
      <c r="A19" s="4"/>
      <c r="B19" s="4"/>
      <c r="C19" s="541" t="s">
        <v>25</v>
      </c>
      <c r="D19" s="542"/>
      <c r="E19" s="542"/>
      <c r="F19" s="542"/>
      <c r="G19" s="542"/>
      <c r="H19" s="542"/>
      <c r="I19" s="542"/>
      <c r="J19" s="542"/>
      <c r="K19" s="542"/>
      <c r="L19" s="542"/>
      <c r="M19" s="542"/>
      <c r="N19" s="543"/>
      <c r="O19" s="4"/>
      <c r="P19" s="4"/>
    </row>
    <row r="20" spans="1:16" ht="15.75" thickBot="1" x14ac:dyDescent="0.3">
      <c r="A20" s="4"/>
      <c r="B20" s="4"/>
      <c r="C20" s="544"/>
      <c r="D20" s="545"/>
      <c r="E20" s="545"/>
      <c r="F20" s="545"/>
      <c r="G20" s="545"/>
      <c r="H20" s="599"/>
      <c r="I20" s="599"/>
      <c r="J20" s="599"/>
      <c r="K20" s="599"/>
      <c r="L20" s="545"/>
      <c r="M20" s="545"/>
      <c r="N20" s="546"/>
      <c r="O20" s="4"/>
      <c r="P20" s="19"/>
    </row>
    <row r="21" spans="1:16" ht="27.75" customHeight="1" thickBot="1" x14ac:dyDescent="0.3">
      <c r="A21" s="472" t="s">
        <v>6</v>
      </c>
      <c r="B21" s="472" t="s">
        <v>8</v>
      </c>
      <c r="C21" s="460" t="s">
        <v>14</v>
      </c>
      <c r="D21" s="461"/>
      <c r="E21" s="450" t="s">
        <v>7</v>
      </c>
      <c r="F21" s="20"/>
      <c r="G21" s="534" t="s">
        <v>12</v>
      </c>
      <c r="H21" s="597"/>
      <c r="I21" s="450" t="s">
        <v>7</v>
      </c>
      <c r="J21" s="275"/>
      <c r="K21" s="597" t="s">
        <v>2</v>
      </c>
      <c r="L21" s="450" t="s">
        <v>3</v>
      </c>
      <c r="M21" s="450" t="s">
        <v>4</v>
      </c>
      <c r="N21" s="450" t="s">
        <v>5</v>
      </c>
      <c r="O21" s="450" t="s">
        <v>10</v>
      </c>
      <c r="P21" s="472" t="s">
        <v>11</v>
      </c>
    </row>
    <row r="22" spans="1:16" ht="15.75" thickBot="1" x14ac:dyDescent="0.3">
      <c r="A22" s="473"/>
      <c r="B22" s="473"/>
      <c r="C22" s="5" t="s">
        <v>0</v>
      </c>
      <c r="D22" s="25" t="s">
        <v>1</v>
      </c>
      <c r="E22" s="451"/>
      <c r="F22" s="24"/>
      <c r="G22" s="25" t="s">
        <v>0</v>
      </c>
      <c r="H22" s="208" t="s">
        <v>1</v>
      </c>
      <c r="I22" s="451"/>
      <c r="J22" s="273"/>
      <c r="K22" s="597"/>
      <c r="L22" s="451"/>
      <c r="M22" s="451"/>
      <c r="N22" s="451"/>
      <c r="O22" s="451"/>
      <c r="P22" s="473"/>
    </row>
    <row r="23" spans="1:16" x14ac:dyDescent="0.25">
      <c r="A23" s="21"/>
      <c r="B23" s="30"/>
      <c r="C23" s="8"/>
      <c r="D23" s="8"/>
      <c r="E23" s="9">
        <f>D23-C23+1</f>
        <v>1</v>
      </c>
      <c r="F23" s="9"/>
      <c r="G23" s="203"/>
      <c r="H23" s="13"/>
      <c r="I23" s="9">
        <f>H23-G23+1</f>
        <v>1</v>
      </c>
      <c r="J23" s="9"/>
      <c r="K23" s="14">
        <v>0</v>
      </c>
      <c r="L23" s="10">
        <f>K23/30</f>
        <v>0</v>
      </c>
      <c r="M23" s="38">
        <v>0</v>
      </c>
      <c r="N23" s="10">
        <f>L23*M23</f>
        <v>0</v>
      </c>
      <c r="O23" s="10">
        <f>N23*0.9</f>
        <v>0</v>
      </c>
      <c r="P23" s="41"/>
    </row>
    <row r="24" spans="1:16" x14ac:dyDescent="0.25">
      <c r="A24" s="21"/>
      <c r="B24" s="30"/>
      <c r="C24" s="8"/>
      <c r="D24" s="8"/>
      <c r="E24" s="9">
        <f>D24-C24+1</f>
        <v>1</v>
      </c>
      <c r="F24" s="9"/>
      <c r="G24" s="203"/>
      <c r="H24" s="13"/>
      <c r="I24" s="9">
        <f>H24-G24+1</f>
        <v>1</v>
      </c>
      <c r="J24" s="9"/>
      <c r="K24" s="14">
        <v>0</v>
      </c>
      <c r="L24" s="10">
        <f>K24/30</f>
        <v>0</v>
      </c>
      <c r="M24" s="9">
        <v>0</v>
      </c>
      <c r="N24" s="10">
        <f>L24*M24</f>
        <v>0</v>
      </c>
      <c r="O24" s="10">
        <f>N24*0.9</f>
        <v>0</v>
      </c>
      <c r="P24" s="11"/>
    </row>
    <row r="25" spans="1:16" ht="15.75" thickBot="1" x14ac:dyDescent="0.3">
      <c r="A25" s="21"/>
      <c r="B25" s="30"/>
      <c r="C25" s="8"/>
      <c r="D25" s="8"/>
      <c r="E25" s="9">
        <f>D25-C25+1</f>
        <v>1</v>
      </c>
      <c r="F25" s="9"/>
      <c r="G25" s="203"/>
      <c r="H25" s="13"/>
      <c r="I25" s="9">
        <f>H25-G25+1</f>
        <v>1</v>
      </c>
      <c r="J25" s="9"/>
      <c r="K25" s="14">
        <v>0</v>
      </c>
      <c r="L25" s="10">
        <f>K25/30</f>
        <v>0</v>
      </c>
      <c r="M25" s="9">
        <v>0</v>
      </c>
      <c r="N25" s="10">
        <f>L25*M25</f>
        <v>0</v>
      </c>
      <c r="O25" s="10">
        <f>N25*0.9</f>
        <v>0</v>
      </c>
      <c r="P25" s="11"/>
    </row>
    <row r="26" spans="1:16" ht="15.75" thickBot="1" x14ac:dyDescent="0.3">
      <c r="A26" s="4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4"/>
      <c r="M26" s="4"/>
      <c r="N26" s="4"/>
      <c r="O26" s="27">
        <f>SUM(O23:O25)</f>
        <v>0</v>
      </c>
      <c r="P26" s="4"/>
    </row>
    <row r="27" spans="1:16" ht="15.75" thickBot="1" x14ac:dyDescent="0.3"/>
    <row r="28" spans="1:16" ht="15.75" thickBot="1" x14ac:dyDescent="0.3">
      <c r="L28" s="547" t="s">
        <v>26</v>
      </c>
      <c r="M28" s="548"/>
      <c r="N28" s="549"/>
      <c r="O28" s="172">
        <f>O26+O18+O10</f>
        <v>0</v>
      </c>
    </row>
  </sheetData>
  <mergeCells count="43">
    <mergeCell ref="M13:M14"/>
    <mergeCell ref="N13:N14"/>
    <mergeCell ref="O5:O6"/>
    <mergeCell ref="P5:P6"/>
    <mergeCell ref="A3:P3"/>
    <mergeCell ref="C4:N4"/>
    <mergeCell ref="F5:F6"/>
    <mergeCell ref="A5:A6"/>
    <mergeCell ref="B5:B6"/>
    <mergeCell ref="C5:D5"/>
    <mergeCell ref="E5:E6"/>
    <mergeCell ref="G5:H5"/>
    <mergeCell ref="K5:K6"/>
    <mergeCell ref="L5:L6"/>
    <mergeCell ref="M5:M6"/>
    <mergeCell ref="N5:N6"/>
    <mergeCell ref="I5:I6"/>
    <mergeCell ref="A13:A14"/>
    <mergeCell ref="B13:B14"/>
    <mergeCell ref="C13:D13"/>
    <mergeCell ref="E13:E14"/>
    <mergeCell ref="G13:H13"/>
    <mergeCell ref="A21:A22"/>
    <mergeCell ref="B21:B22"/>
    <mergeCell ref="C21:D21"/>
    <mergeCell ref="E21:E22"/>
    <mergeCell ref="G21:H21"/>
    <mergeCell ref="I21:I22"/>
    <mergeCell ref="J5:J6"/>
    <mergeCell ref="L28:N28"/>
    <mergeCell ref="O13:O14"/>
    <mergeCell ref="P13:P14"/>
    <mergeCell ref="C19:N20"/>
    <mergeCell ref="K21:K22"/>
    <mergeCell ref="L21:L22"/>
    <mergeCell ref="M21:M22"/>
    <mergeCell ref="N21:N22"/>
    <mergeCell ref="O21:O22"/>
    <mergeCell ref="P21:P22"/>
    <mergeCell ref="I13:I14"/>
    <mergeCell ref="C11:N12"/>
    <mergeCell ref="K13:K14"/>
    <mergeCell ref="L13:L14"/>
  </mergeCells>
  <pageMargins left="0.9055118110236221" right="0.51181102362204722" top="0.74803149606299213" bottom="0.74803149606299213" header="0.31496062992125984" footer="0.31496062992125984"/>
  <pageSetup scale="7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6"/>
  <sheetViews>
    <sheetView zoomScale="110" zoomScaleNormal="110" workbookViewId="0">
      <selection activeCell="A2" sqref="A2"/>
    </sheetView>
  </sheetViews>
  <sheetFormatPr baseColWidth="10" defaultColWidth="11.42578125" defaultRowHeight="15" x14ac:dyDescent="0.25"/>
  <cols>
    <col min="1" max="1" width="3.5703125" customWidth="1"/>
    <col min="2" max="2" width="29.28515625" style="1" bestFit="1" customWidth="1"/>
    <col min="3" max="4" width="9.42578125" style="1" customWidth="1"/>
    <col min="5" max="5" width="4.7109375" style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17.28515625" style="82" bestFit="1" customWidth="1"/>
  </cols>
  <sheetData>
    <row r="1" spans="1:15" ht="30.75" customHeight="1" thickBot="1" x14ac:dyDescent="0.5">
      <c r="A1" s="550" t="s">
        <v>80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  <c r="O1" s="550"/>
    </row>
    <row r="2" spans="1:15" ht="25.5" customHeight="1" thickBot="1" x14ac:dyDescent="0.3">
      <c r="A2" s="4"/>
      <c r="B2" s="4"/>
      <c r="C2" s="487" t="s">
        <v>17</v>
      </c>
      <c r="D2" s="488"/>
      <c r="E2" s="488"/>
      <c r="F2" s="488"/>
      <c r="G2" s="488"/>
      <c r="H2" s="488"/>
      <c r="I2" s="488"/>
      <c r="J2" s="488"/>
      <c r="K2" s="488"/>
      <c r="L2" s="488"/>
      <c r="M2" s="489"/>
      <c r="N2" s="4"/>
      <c r="O2" s="79"/>
    </row>
    <row r="3" spans="1:15" ht="27.75" customHeight="1" thickBot="1" x14ac:dyDescent="0.3">
      <c r="A3" s="101" t="s">
        <v>6</v>
      </c>
      <c r="B3" s="105" t="s">
        <v>8</v>
      </c>
      <c r="C3" s="582" t="s">
        <v>37</v>
      </c>
      <c r="D3" s="587"/>
      <c r="E3" s="77"/>
      <c r="F3" s="585" t="s">
        <v>40</v>
      </c>
      <c r="G3" s="586"/>
      <c r="H3" s="103" t="s">
        <v>7</v>
      </c>
      <c r="I3" s="100"/>
      <c r="J3" s="450" t="s">
        <v>2</v>
      </c>
      <c r="K3" s="450" t="s">
        <v>3</v>
      </c>
      <c r="L3" s="450" t="s">
        <v>4</v>
      </c>
      <c r="M3" s="450" t="s">
        <v>5</v>
      </c>
      <c r="N3" s="450" t="s">
        <v>9</v>
      </c>
      <c r="O3" s="80" t="s">
        <v>11</v>
      </c>
    </row>
    <row r="4" spans="1:15" ht="15.75" thickBot="1" x14ac:dyDescent="0.3">
      <c r="A4" s="102"/>
      <c r="B4" s="106"/>
      <c r="C4" s="70" t="s">
        <v>38</v>
      </c>
      <c r="D4" s="70" t="s">
        <v>39</v>
      </c>
      <c r="E4" s="78"/>
      <c r="F4" s="5" t="s">
        <v>0</v>
      </c>
      <c r="G4" s="25" t="s">
        <v>1</v>
      </c>
      <c r="H4" s="104"/>
      <c r="I4" s="24"/>
      <c r="J4" s="451"/>
      <c r="K4" s="451"/>
      <c r="L4" s="451"/>
      <c r="M4" s="451"/>
      <c r="N4" s="451"/>
      <c r="O4" s="81"/>
    </row>
    <row r="5" spans="1:15" x14ac:dyDescent="0.25">
      <c r="A5" s="6"/>
      <c r="B5" s="7"/>
      <c r="C5" s="55"/>
      <c r="D5" s="55"/>
      <c r="E5" s="55"/>
      <c r="F5" s="8">
        <v>0</v>
      </c>
      <c r="G5" s="8">
        <v>0</v>
      </c>
      <c r="H5" s="9">
        <f>G5-F5+1</f>
        <v>1</v>
      </c>
      <c r="I5" s="9">
        <f>H5-3</f>
        <v>-2</v>
      </c>
      <c r="J5" s="10">
        <v>0</v>
      </c>
      <c r="K5" s="10">
        <f>J5/30</f>
        <v>0</v>
      </c>
      <c r="L5" s="9"/>
      <c r="M5" s="10">
        <f>K5*L5</f>
        <v>0</v>
      </c>
      <c r="N5" s="10">
        <f>M5*0.75</f>
        <v>0</v>
      </c>
      <c r="O5" s="11"/>
    </row>
    <row r="6" spans="1:15" x14ac:dyDescent="0.25">
      <c r="A6" s="6">
        <v>1</v>
      </c>
      <c r="B6" s="129"/>
      <c r="C6" s="56"/>
      <c r="D6" s="56"/>
      <c r="E6" s="76">
        <f>D6-C6+1</f>
        <v>1</v>
      </c>
      <c r="F6" s="56"/>
      <c r="G6" s="56"/>
      <c r="H6" s="9">
        <f>G6-F6+1</f>
        <v>1</v>
      </c>
      <c r="I6" s="9">
        <f>H6-3</f>
        <v>-2</v>
      </c>
      <c r="J6" s="14"/>
      <c r="K6" s="14">
        <f>J6/30</f>
        <v>0</v>
      </c>
      <c r="L6" s="15"/>
      <c r="M6" s="14">
        <f>K6*L6</f>
        <v>0</v>
      </c>
      <c r="N6" s="14">
        <f>M6*0.75</f>
        <v>0</v>
      </c>
      <c r="O6" s="17"/>
    </row>
    <row r="7" spans="1:15" ht="15.75" thickBot="1" x14ac:dyDescent="0.3">
      <c r="A7" s="6"/>
      <c r="B7" s="12"/>
      <c r="C7" s="56"/>
      <c r="D7" s="56"/>
      <c r="E7" s="12"/>
      <c r="F7" s="13"/>
      <c r="G7" s="13"/>
      <c r="H7" s="9">
        <f>G7-F7+1</f>
        <v>1</v>
      </c>
      <c r="I7" s="9">
        <f>H7-3</f>
        <v>-2</v>
      </c>
      <c r="J7" s="14">
        <v>0</v>
      </c>
      <c r="K7" s="14">
        <f>J7/30</f>
        <v>0</v>
      </c>
      <c r="L7" s="15"/>
      <c r="M7" s="14">
        <f>K7*L7</f>
        <v>0</v>
      </c>
      <c r="N7" s="14">
        <f>M7*0.75</f>
        <v>0</v>
      </c>
      <c r="O7" s="17"/>
    </row>
    <row r="8" spans="1:15" ht="15.75" thickBot="1" x14ac:dyDescent="0.3">
      <c r="A8" s="4"/>
      <c r="B8" s="18"/>
      <c r="C8" s="18"/>
      <c r="D8" s="18"/>
      <c r="E8" s="18"/>
      <c r="F8" s="18"/>
      <c r="G8" s="18"/>
      <c r="H8" s="18"/>
      <c r="I8" s="18"/>
      <c r="J8" s="18"/>
      <c r="K8" s="4"/>
      <c r="L8" s="4"/>
      <c r="M8" s="4"/>
      <c r="N8" s="27">
        <f>SUM(N5:N7)</f>
        <v>0</v>
      </c>
      <c r="O8" s="79"/>
    </row>
    <row r="9" spans="1:15" ht="15" customHeight="1" x14ac:dyDescent="0.25">
      <c r="A9" s="4"/>
      <c r="B9" s="4"/>
      <c r="C9" s="476" t="s">
        <v>13</v>
      </c>
      <c r="D9" s="477"/>
      <c r="E9" s="477"/>
      <c r="F9" s="477"/>
      <c r="G9" s="477"/>
      <c r="H9" s="477"/>
      <c r="I9" s="477"/>
      <c r="J9" s="477"/>
      <c r="K9" s="477"/>
      <c r="L9" s="477"/>
      <c r="M9" s="478"/>
      <c r="N9" s="4"/>
      <c r="O9" s="79"/>
    </row>
    <row r="10" spans="1:15" ht="15.75" customHeight="1" thickBot="1" x14ac:dyDescent="0.3">
      <c r="A10" s="4"/>
      <c r="B10" s="4"/>
      <c r="C10" s="479"/>
      <c r="D10" s="480"/>
      <c r="E10" s="480"/>
      <c r="F10" s="480"/>
      <c r="G10" s="480"/>
      <c r="H10" s="480"/>
      <c r="I10" s="480"/>
      <c r="J10" s="480"/>
      <c r="K10" s="480"/>
      <c r="L10" s="480"/>
      <c r="M10" s="481"/>
      <c r="N10" s="4"/>
      <c r="O10" s="47"/>
    </row>
    <row r="11" spans="1:15" ht="33" customHeight="1" thickBot="1" x14ac:dyDescent="0.3">
      <c r="A11" s="105" t="s">
        <v>6</v>
      </c>
      <c r="B11" s="105" t="s">
        <v>8</v>
      </c>
      <c r="C11" s="582" t="s">
        <v>37</v>
      </c>
      <c r="D11" s="583"/>
      <c r="E11" s="75"/>
      <c r="F11" s="585" t="s">
        <v>40</v>
      </c>
      <c r="G11" s="586"/>
      <c r="H11" s="100" t="s">
        <v>7</v>
      </c>
      <c r="I11" s="20"/>
      <c r="J11" s="450" t="s">
        <v>2</v>
      </c>
      <c r="K11" s="450" t="s">
        <v>3</v>
      </c>
      <c r="L11" s="450" t="s">
        <v>4</v>
      </c>
      <c r="M11" s="450" t="s">
        <v>5</v>
      </c>
      <c r="N11" s="450" t="s">
        <v>10</v>
      </c>
      <c r="O11" s="80" t="s">
        <v>11</v>
      </c>
    </row>
    <row r="12" spans="1:15" ht="15.75" thickBot="1" x14ac:dyDescent="0.3">
      <c r="A12" s="106"/>
      <c r="B12" s="106"/>
      <c r="C12" s="70" t="s">
        <v>38</v>
      </c>
      <c r="D12" s="70" t="s">
        <v>39</v>
      </c>
      <c r="E12" s="70"/>
      <c r="F12" s="5" t="s">
        <v>0</v>
      </c>
      <c r="G12" s="25" t="s">
        <v>1</v>
      </c>
      <c r="H12" s="24"/>
      <c r="I12" s="24"/>
      <c r="J12" s="451"/>
      <c r="K12" s="451"/>
      <c r="L12" s="451"/>
      <c r="M12" s="451"/>
      <c r="N12" s="451"/>
      <c r="O12" s="81"/>
    </row>
    <row r="13" spans="1:15" x14ac:dyDescent="0.25">
      <c r="A13" s="21"/>
      <c r="B13" s="3"/>
      <c r="C13" s="56">
        <v>0</v>
      </c>
      <c r="D13" s="56">
        <v>0</v>
      </c>
      <c r="E13" s="76">
        <f>D13-C13+1</f>
        <v>1</v>
      </c>
      <c r="F13" s="2">
        <v>0</v>
      </c>
      <c r="G13" s="2">
        <v>0</v>
      </c>
      <c r="H13" s="9">
        <f>G13-F13+1</f>
        <v>1</v>
      </c>
      <c r="I13" s="9"/>
      <c r="J13" s="10">
        <v>0</v>
      </c>
      <c r="K13" s="10">
        <f>J13/30</f>
        <v>0</v>
      </c>
      <c r="L13" s="9">
        <v>0</v>
      </c>
      <c r="M13" s="10">
        <f>K13*L13</f>
        <v>0</v>
      </c>
      <c r="N13" s="10">
        <f>M13*0.9</f>
        <v>0</v>
      </c>
      <c r="O13" s="22"/>
    </row>
    <row r="14" spans="1:15" x14ac:dyDescent="0.25">
      <c r="A14" s="21"/>
      <c r="B14" s="270"/>
      <c r="C14" s="56"/>
      <c r="D14" s="56"/>
      <c r="E14" s="76"/>
      <c r="F14" s="271"/>
      <c r="G14" s="272"/>
      <c r="H14" s="9"/>
      <c r="I14" s="9"/>
      <c r="J14" s="10"/>
      <c r="K14" s="10"/>
      <c r="L14" s="9"/>
      <c r="M14" s="10"/>
      <c r="N14" s="10"/>
      <c r="O14" s="22"/>
    </row>
    <row r="15" spans="1:15" ht="15.75" thickBot="1" x14ac:dyDescent="0.3">
      <c r="A15" s="21"/>
      <c r="B15" s="73"/>
      <c r="C15" s="56">
        <v>0</v>
      </c>
      <c r="D15" s="56">
        <v>0</v>
      </c>
      <c r="E15" s="76">
        <f>D15-C15+1</f>
        <v>1</v>
      </c>
      <c r="F15" s="74">
        <v>0</v>
      </c>
      <c r="G15" s="8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22"/>
    </row>
    <row r="16" spans="1:15" ht="15.75" thickBot="1" x14ac:dyDescent="0.3">
      <c r="A16" s="4"/>
      <c r="B16" s="18"/>
      <c r="C16" s="72"/>
      <c r="D16" s="72"/>
      <c r="E16" s="72"/>
      <c r="F16" s="18"/>
      <c r="G16" s="18"/>
      <c r="H16" s="18"/>
      <c r="I16" s="18"/>
      <c r="J16" s="18"/>
      <c r="K16" s="4"/>
      <c r="L16" s="4"/>
      <c r="M16" s="4"/>
      <c r="N16" s="27">
        <f>SUM(N13:N15)</f>
        <v>0</v>
      </c>
      <c r="O16" s="79"/>
    </row>
    <row r="17" spans="1:15" ht="15" customHeight="1" x14ac:dyDescent="0.25">
      <c r="A17" s="4"/>
      <c r="B17" s="4"/>
      <c r="C17" s="476" t="s">
        <v>25</v>
      </c>
      <c r="D17" s="477"/>
      <c r="E17" s="477"/>
      <c r="F17" s="477"/>
      <c r="G17" s="477"/>
      <c r="H17" s="477"/>
      <c r="I17" s="477"/>
      <c r="J17" s="477"/>
      <c r="K17" s="477"/>
      <c r="L17" s="477"/>
      <c r="M17" s="478"/>
      <c r="N17" s="4"/>
      <c r="O17" s="79"/>
    </row>
    <row r="18" spans="1:15" ht="15.75" customHeight="1" thickBot="1" x14ac:dyDescent="0.3">
      <c r="A18" s="4"/>
      <c r="B18" s="4"/>
      <c r="C18" s="479"/>
      <c r="D18" s="480"/>
      <c r="E18" s="480"/>
      <c r="F18" s="480"/>
      <c r="G18" s="480"/>
      <c r="H18" s="480"/>
      <c r="I18" s="480"/>
      <c r="J18" s="480"/>
      <c r="K18" s="480"/>
      <c r="L18" s="480"/>
      <c r="M18" s="481"/>
      <c r="N18" s="4"/>
      <c r="O18" s="47"/>
    </row>
    <row r="19" spans="1:15" ht="32.25" customHeight="1" thickBot="1" x14ac:dyDescent="0.3">
      <c r="A19" s="472" t="s">
        <v>6</v>
      </c>
      <c r="B19" s="472" t="s">
        <v>8</v>
      </c>
      <c r="C19" s="582" t="s">
        <v>37</v>
      </c>
      <c r="D19" s="583"/>
      <c r="E19" s="75"/>
      <c r="F19" s="460" t="s">
        <v>40</v>
      </c>
      <c r="G19" s="584"/>
      <c r="H19" s="605"/>
      <c r="I19" s="20"/>
      <c r="J19" s="450" t="s">
        <v>2</v>
      </c>
      <c r="K19" s="450" t="s">
        <v>3</v>
      </c>
      <c r="L19" s="450" t="s">
        <v>4</v>
      </c>
      <c r="M19" s="450" t="s">
        <v>5</v>
      </c>
      <c r="N19" s="450" t="s">
        <v>10</v>
      </c>
      <c r="O19" s="80" t="s">
        <v>11</v>
      </c>
    </row>
    <row r="20" spans="1:15" ht="15.75" thickBot="1" x14ac:dyDescent="0.3">
      <c r="A20" s="473"/>
      <c r="B20" s="473"/>
      <c r="C20" s="70" t="s">
        <v>38</v>
      </c>
      <c r="D20" s="70" t="s">
        <v>39</v>
      </c>
      <c r="E20" s="70"/>
      <c r="F20" s="24" t="s">
        <v>0</v>
      </c>
      <c r="G20" s="107" t="s">
        <v>1</v>
      </c>
      <c r="H20" s="208"/>
      <c r="I20" s="208"/>
      <c r="J20" s="451"/>
      <c r="K20" s="451"/>
      <c r="L20" s="451"/>
      <c r="M20" s="451"/>
      <c r="N20" s="451"/>
      <c r="O20" s="81"/>
    </row>
    <row r="21" spans="1:15" x14ac:dyDescent="0.25">
      <c r="A21" s="21"/>
      <c r="B21" s="7"/>
      <c r="C21" s="56">
        <v>0</v>
      </c>
      <c r="D21" s="56">
        <v>0</v>
      </c>
      <c r="E21" s="55"/>
      <c r="F21" s="8">
        <v>0</v>
      </c>
      <c r="G21" s="203">
        <v>0</v>
      </c>
      <c r="H21" s="15">
        <f>G21-F21+1</f>
        <v>1</v>
      </c>
      <c r="I21" s="15"/>
      <c r="J21" s="10">
        <v>0</v>
      </c>
      <c r="K21" s="10">
        <f>J21/30</f>
        <v>0</v>
      </c>
      <c r="L21" s="9"/>
      <c r="M21" s="10">
        <f>K21*L21</f>
        <v>0</v>
      </c>
      <c r="N21" s="10">
        <f>M21*0.9</f>
        <v>0</v>
      </c>
      <c r="O21" s="22"/>
    </row>
    <row r="22" spans="1:15" x14ac:dyDescent="0.25">
      <c r="A22" s="21"/>
      <c r="B22" s="7"/>
      <c r="C22" s="7"/>
      <c r="D22" s="7"/>
      <c r="E22" s="7"/>
      <c r="F22" s="8">
        <v>0</v>
      </c>
      <c r="G22" s="203">
        <v>0</v>
      </c>
      <c r="H22" s="15">
        <f>G22-F22+1</f>
        <v>1</v>
      </c>
      <c r="I22" s="15"/>
      <c r="J22" s="10">
        <v>0</v>
      </c>
      <c r="K22" s="10">
        <f>J22/30</f>
        <v>0</v>
      </c>
      <c r="L22" s="9"/>
      <c r="M22" s="10">
        <f>K22*L22</f>
        <v>0</v>
      </c>
      <c r="N22" s="10">
        <f>M22*0.9</f>
        <v>0</v>
      </c>
      <c r="O22" s="22"/>
    </row>
    <row r="23" spans="1:15" ht="15.75" thickBot="1" x14ac:dyDescent="0.3">
      <c r="A23" s="21"/>
      <c r="B23" s="7"/>
      <c r="C23" s="7"/>
      <c r="D23" s="7"/>
      <c r="E23" s="7"/>
      <c r="F23" s="8">
        <v>0</v>
      </c>
      <c r="G23" s="203">
        <v>0</v>
      </c>
      <c r="H23" s="15">
        <f>G23-F23+1</f>
        <v>1</v>
      </c>
      <c r="I23" s="15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22"/>
    </row>
    <row r="24" spans="1:15" ht="15.75" thickBot="1" x14ac:dyDescent="0.3">
      <c r="A24" s="4"/>
      <c r="B24" s="18"/>
      <c r="C24" s="18"/>
      <c r="D24" s="18"/>
      <c r="E24" s="18"/>
      <c r="F24" s="18"/>
      <c r="G24" s="18"/>
      <c r="H24" s="15"/>
      <c r="I24" s="15"/>
      <c r="J24" s="18"/>
      <c r="K24" s="4"/>
      <c r="L24" s="4"/>
      <c r="M24" s="4"/>
      <c r="N24" s="27">
        <f>SUM(N21:N23)</f>
        <v>0</v>
      </c>
      <c r="O24" s="79"/>
    </row>
    <row r="25" spans="1:15" ht="15.75" thickBot="1" x14ac:dyDescent="0.3">
      <c r="H25" s="209"/>
      <c r="I25" s="209"/>
    </row>
    <row r="26" spans="1:15" ht="16.5" thickBot="1" x14ac:dyDescent="0.3">
      <c r="K26" s="579" t="s">
        <v>26</v>
      </c>
      <c r="L26" s="580"/>
      <c r="M26" s="581"/>
      <c r="N26" s="186">
        <f>N24+N16+N8</f>
        <v>0</v>
      </c>
    </row>
  </sheetData>
  <mergeCells count="28">
    <mergeCell ref="A1:O1"/>
    <mergeCell ref="C2:M2"/>
    <mergeCell ref="C3:D3"/>
    <mergeCell ref="F3:G3"/>
    <mergeCell ref="J3:J4"/>
    <mergeCell ref="K3:K4"/>
    <mergeCell ref="L3:L4"/>
    <mergeCell ref="M3:M4"/>
    <mergeCell ref="N3:N4"/>
    <mergeCell ref="C9:M10"/>
    <mergeCell ref="C11:D11"/>
    <mergeCell ref="F11:G11"/>
    <mergeCell ref="J11:J12"/>
    <mergeCell ref="K11:K12"/>
    <mergeCell ref="L11:L12"/>
    <mergeCell ref="M11:M12"/>
    <mergeCell ref="N19:N20"/>
    <mergeCell ref="K26:M26"/>
    <mergeCell ref="N11:N12"/>
    <mergeCell ref="C17:M18"/>
    <mergeCell ref="A19:A20"/>
    <mergeCell ref="B19:B20"/>
    <mergeCell ref="C19:D19"/>
    <mergeCell ref="F19:H19"/>
    <mergeCell ref="J19:J20"/>
    <mergeCell ref="K19:K20"/>
    <mergeCell ref="L19:L20"/>
    <mergeCell ref="M19:M20"/>
  </mergeCells>
  <pageMargins left="0.70866141732283472" right="0.31496062992125984" top="0.74803149606299213" bottom="0.74803149606299213" header="0.31496062992125984" footer="0.31496062992125984"/>
  <pageSetup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9"/>
  <sheetViews>
    <sheetView topLeftCell="A4" zoomScale="110" zoomScaleNormal="110" workbookViewId="0">
      <selection activeCell="K5" sqref="K5:K6"/>
    </sheetView>
  </sheetViews>
  <sheetFormatPr baseColWidth="10" defaultColWidth="11.42578125" defaultRowHeight="15" x14ac:dyDescent="0.25"/>
  <cols>
    <col min="1" max="1" width="3.5703125" customWidth="1"/>
    <col min="2" max="2" width="26.28515625" style="1" bestFit="1" customWidth="1"/>
    <col min="3" max="4" width="9.42578125" style="1" customWidth="1"/>
    <col min="5" max="5" width="4.7109375" style="1" customWidth="1"/>
    <col min="6" max="7" width="9.42578125" style="1" customWidth="1"/>
    <col min="8" max="8" width="4.85546875" style="1" customWidth="1"/>
    <col min="9" max="9" width="4.5703125" style="1" customWidth="1"/>
    <col min="10" max="10" width="11.5703125" style="1"/>
    <col min="11" max="11" width="9.7109375" customWidth="1"/>
    <col min="12" max="12" width="7.140625" customWidth="1"/>
    <col min="13" max="13" width="10" customWidth="1"/>
    <col min="15" max="15" width="17.28515625" style="82" bestFit="1" customWidth="1"/>
  </cols>
  <sheetData>
    <row r="1" spans="1:15" x14ac:dyDescent="0.25">
      <c r="A1" t="s">
        <v>46</v>
      </c>
      <c r="B1" s="245"/>
      <c r="C1" s="245"/>
      <c r="D1" s="245"/>
      <c r="E1" s="245"/>
      <c r="F1" s="245"/>
      <c r="G1" s="245"/>
      <c r="H1" s="245"/>
      <c r="I1" s="245"/>
      <c r="J1" s="245"/>
      <c r="M1" t="s">
        <v>63</v>
      </c>
    </row>
    <row r="2" spans="1:15" x14ac:dyDescent="0.25">
      <c r="B2" s="245" t="s">
        <v>47</v>
      </c>
      <c r="C2" s="245"/>
      <c r="D2" s="245"/>
      <c r="E2" s="245"/>
      <c r="F2" s="245"/>
      <c r="G2" s="245"/>
      <c r="H2" s="245"/>
      <c r="I2" s="245"/>
      <c r="J2" s="245"/>
      <c r="M2" t="s">
        <v>133</v>
      </c>
      <c r="O2" s="82" t="s">
        <v>134</v>
      </c>
    </row>
    <row r="3" spans="1:15" ht="30.75" customHeight="1" thickBot="1" x14ac:dyDescent="0.5">
      <c r="A3" s="550" t="s">
        <v>98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129" t="s">
        <v>140</v>
      </c>
      <c r="C8" s="56">
        <v>45652</v>
      </c>
      <c r="D8" s="56">
        <v>45658</v>
      </c>
      <c r="E8" s="76">
        <f>D8-C8+1</f>
        <v>7</v>
      </c>
      <c r="F8" s="56">
        <v>45658</v>
      </c>
      <c r="G8" s="56">
        <v>45658</v>
      </c>
      <c r="H8" s="9">
        <f>G8-F8+1</f>
        <v>1</v>
      </c>
      <c r="I8" s="9">
        <f>H8-3</f>
        <v>-2</v>
      </c>
      <c r="J8" s="14">
        <v>4420.9799999999996</v>
      </c>
      <c r="K8" s="14">
        <f>J8/30</f>
        <v>147.36599999999999</v>
      </c>
      <c r="L8" s="15">
        <v>1</v>
      </c>
      <c r="M8" s="14">
        <f>K8*L8</f>
        <v>147.36599999999999</v>
      </c>
      <c r="N8" s="14">
        <f>M8*0.75</f>
        <v>110.52449999999999</v>
      </c>
      <c r="O8" s="17"/>
    </row>
    <row r="9" spans="1:15" x14ac:dyDescent="0.25">
      <c r="A9" s="6">
        <v>2</v>
      </c>
      <c r="B9" s="129" t="s">
        <v>140</v>
      </c>
      <c r="C9" s="56"/>
      <c r="D9" s="56"/>
      <c r="E9" s="76">
        <f>D9-C9+1</f>
        <v>1</v>
      </c>
      <c r="F9" s="56">
        <v>45671</v>
      </c>
      <c r="G9" s="56">
        <v>45686</v>
      </c>
      <c r="H9" s="9">
        <f>G9-F9+1</f>
        <v>16</v>
      </c>
      <c r="I9" s="9">
        <f>H9-3</f>
        <v>13</v>
      </c>
      <c r="J9" s="14">
        <v>4094.06</v>
      </c>
      <c r="K9" s="14">
        <f>J9/30</f>
        <v>136.46866666666668</v>
      </c>
      <c r="L9" s="15">
        <f>+I9</f>
        <v>13</v>
      </c>
      <c r="M9" s="14">
        <f>K9*L9</f>
        <v>1774.0926666666669</v>
      </c>
      <c r="N9" s="14">
        <f>M9*0.75</f>
        <v>1330.5695000000001</v>
      </c>
      <c r="O9" s="17"/>
    </row>
    <row r="10" spans="1:15" ht="15.75" thickBot="1" x14ac:dyDescent="0.3">
      <c r="A10" s="6"/>
      <c r="B10" s="12"/>
      <c r="C10" s="56"/>
      <c r="D10" s="56"/>
      <c r="E10" s="12"/>
      <c r="F10" s="13"/>
      <c r="G10" s="13"/>
      <c r="H10" s="9">
        <f>G10-F10+1</f>
        <v>1</v>
      </c>
      <c r="I10" s="9">
        <f>H10-3</f>
        <v>-2</v>
      </c>
      <c r="J10" s="14"/>
      <c r="K10" s="14">
        <f>J10/30</f>
        <v>0</v>
      </c>
      <c r="L10" s="15"/>
      <c r="M10" s="14">
        <f>K10*L10</f>
        <v>0</v>
      </c>
      <c r="N10" s="14">
        <f>M10*0.75</f>
        <v>0</v>
      </c>
      <c r="O10" s="17"/>
    </row>
    <row r="11" spans="1:15" ht="15.75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1441.0940000000001</v>
      </c>
      <c r="O11" s="79"/>
    </row>
    <row r="12" spans="1:15" ht="15" customHeight="1" x14ac:dyDescent="0.25">
      <c r="A12" s="4"/>
      <c r="B12" s="4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8"/>
      <c r="N12" s="4"/>
      <c r="O12" s="79"/>
    </row>
    <row r="13" spans="1:15" ht="15.75" customHeight="1" thickBot="1" x14ac:dyDescent="0.3">
      <c r="A13" s="4"/>
      <c r="B13" s="4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1"/>
      <c r="N13" s="4"/>
      <c r="O13" s="47"/>
    </row>
    <row r="14" spans="1:15" ht="33" customHeight="1" thickBot="1" x14ac:dyDescent="0.3">
      <c r="A14" s="105" t="s">
        <v>6</v>
      </c>
      <c r="B14" s="105" t="s">
        <v>8</v>
      </c>
      <c r="C14" s="582" t="s">
        <v>37</v>
      </c>
      <c r="D14" s="583"/>
      <c r="E14" s="75"/>
      <c r="F14" s="585" t="s">
        <v>40</v>
      </c>
      <c r="G14" s="586"/>
      <c r="H14" s="100" t="s">
        <v>7</v>
      </c>
      <c r="I14" s="20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80" t="s">
        <v>11</v>
      </c>
    </row>
    <row r="15" spans="1:15" ht="15.75" thickBot="1" x14ac:dyDescent="0.3">
      <c r="A15" s="106"/>
      <c r="B15" s="106"/>
      <c r="C15" s="70" t="s">
        <v>38</v>
      </c>
      <c r="D15" s="70" t="s">
        <v>39</v>
      </c>
      <c r="E15" s="70"/>
      <c r="F15" s="5" t="s">
        <v>0</v>
      </c>
      <c r="G15" s="25" t="s">
        <v>1</v>
      </c>
      <c r="H15" s="24"/>
      <c r="I15" s="24"/>
      <c r="J15" s="451"/>
      <c r="K15" s="451"/>
      <c r="L15" s="451"/>
      <c r="M15" s="451"/>
      <c r="N15" s="451"/>
      <c r="O15" s="81"/>
    </row>
    <row r="16" spans="1:15" x14ac:dyDescent="0.25">
      <c r="A16" s="21"/>
      <c r="B16" s="3"/>
      <c r="C16" s="56">
        <v>0</v>
      </c>
      <c r="D16" s="56">
        <v>0</v>
      </c>
      <c r="E16" s="76">
        <f>D16-C16+1</f>
        <v>1</v>
      </c>
      <c r="F16" s="2">
        <v>0</v>
      </c>
      <c r="G16" s="2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22"/>
    </row>
    <row r="17" spans="1:15" x14ac:dyDescent="0.25">
      <c r="A17" s="21">
        <v>1</v>
      </c>
      <c r="B17" s="12"/>
      <c r="C17" s="56"/>
      <c r="D17" s="56"/>
      <c r="E17" s="76">
        <f>D17-C17+1</f>
        <v>1</v>
      </c>
      <c r="F17" s="56">
        <v>45017</v>
      </c>
      <c r="G17" s="56">
        <v>45046</v>
      </c>
      <c r="H17" s="9">
        <f>G17-F17+1</f>
        <v>30</v>
      </c>
      <c r="I17" s="9"/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22"/>
    </row>
    <row r="18" spans="1:15" ht="15.75" thickBot="1" x14ac:dyDescent="0.3">
      <c r="A18" s="21">
        <v>2</v>
      </c>
      <c r="B18" s="73"/>
      <c r="C18" s="56"/>
      <c r="D18" s="56"/>
      <c r="E18" s="76">
        <f>D18-C18+1</f>
        <v>1</v>
      </c>
      <c r="F18" s="74"/>
      <c r="G18" s="8"/>
      <c r="H18" s="9">
        <f>G18-F18+1</f>
        <v>1</v>
      </c>
      <c r="I18" s="9"/>
      <c r="J18" s="10"/>
      <c r="K18" s="10">
        <f>J18/30</f>
        <v>0</v>
      </c>
      <c r="L18" s="9"/>
      <c r="M18" s="10">
        <f>K18*L18</f>
        <v>0</v>
      </c>
      <c r="N18" s="10">
        <f>M18*0.9</f>
        <v>0</v>
      </c>
      <c r="O18" s="22"/>
    </row>
    <row r="19" spans="1:15" ht="15.75" thickBot="1" x14ac:dyDescent="0.3">
      <c r="A19" s="4"/>
      <c r="B19" s="18"/>
      <c r="C19" s="72"/>
      <c r="D19" s="72"/>
      <c r="E19" s="72"/>
      <c r="F19" s="18"/>
      <c r="G19" s="18"/>
      <c r="H19" s="18"/>
      <c r="I19" s="18"/>
      <c r="J19" s="18"/>
      <c r="K19" s="4"/>
      <c r="L19" s="4"/>
      <c r="M19" s="4"/>
      <c r="N19" s="27">
        <f>SUM(N16:N18)</f>
        <v>0</v>
      </c>
      <c r="O19" s="79"/>
    </row>
    <row r="20" spans="1:15" ht="15" customHeight="1" x14ac:dyDescent="0.25">
      <c r="A20" s="4"/>
      <c r="B20" s="4"/>
      <c r="C20" s="476" t="s">
        <v>25</v>
      </c>
      <c r="D20" s="477"/>
      <c r="E20" s="477"/>
      <c r="F20" s="477"/>
      <c r="G20" s="477"/>
      <c r="H20" s="477"/>
      <c r="I20" s="477"/>
      <c r="J20" s="477"/>
      <c r="K20" s="477"/>
      <c r="L20" s="477"/>
      <c r="M20" s="478"/>
      <c r="N20" s="4"/>
      <c r="O20" s="79"/>
    </row>
    <row r="21" spans="1:15" ht="15.75" customHeight="1" thickBot="1" x14ac:dyDescent="0.3">
      <c r="A21" s="4"/>
      <c r="B21" s="4"/>
      <c r="C21" s="479"/>
      <c r="D21" s="480"/>
      <c r="E21" s="480"/>
      <c r="F21" s="480"/>
      <c r="G21" s="480"/>
      <c r="H21" s="606"/>
      <c r="I21" s="606"/>
      <c r="J21" s="480"/>
      <c r="K21" s="480"/>
      <c r="L21" s="480"/>
      <c r="M21" s="481"/>
      <c r="N21" s="4"/>
      <c r="O21" s="47"/>
    </row>
    <row r="22" spans="1:15" ht="32.25" customHeight="1" thickBot="1" x14ac:dyDescent="0.3">
      <c r="A22" s="472" t="s">
        <v>6</v>
      </c>
      <c r="B22" s="472" t="s">
        <v>8</v>
      </c>
      <c r="C22" s="582" t="s">
        <v>37</v>
      </c>
      <c r="D22" s="583"/>
      <c r="E22" s="75"/>
      <c r="F22" s="460" t="s">
        <v>40</v>
      </c>
      <c r="G22" s="584"/>
      <c r="H22" s="607"/>
      <c r="I22" s="208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80" t="s">
        <v>11</v>
      </c>
    </row>
    <row r="23" spans="1:15" ht="15.75" thickBot="1" x14ac:dyDescent="0.3">
      <c r="A23" s="473"/>
      <c r="B23" s="473"/>
      <c r="C23" s="70" t="s">
        <v>38</v>
      </c>
      <c r="D23" s="70" t="s">
        <v>39</v>
      </c>
      <c r="E23" s="70"/>
      <c r="F23" s="24" t="s">
        <v>0</v>
      </c>
      <c r="G23" s="107" t="s">
        <v>1</v>
      </c>
      <c r="H23" s="208"/>
      <c r="I23" s="15"/>
      <c r="J23" s="451"/>
      <c r="K23" s="451"/>
      <c r="L23" s="451"/>
      <c r="M23" s="451"/>
      <c r="N23" s="451"/>
      <c r="O23" s="81"/>
    </row>
    <row r="24" spans="1:15" x14ac:dyDescent="0.25">
      <c r="A24" s="21"/>
      <c r="B24" s="7"/>
      <c r="C24" s="56">
        <v>0</v>
      </c>
      <c r="D24" s="56">
        <v>0</v>
      </c>
      <c r="E24" s="55"/>
      <c r="F24" s="8">
        <v>0</v>
      </c>
      <c r="G24" s="203">
        <v>0</v>
      </c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x14ac:dyDescent="0.25">
      <c r="A25" s="21"/>
      <c r="B25" s="7"/>
      <c r="C25" s="7"/>
      <c r="D25" s="7"/>
      <c r="E25" s="7"/>
      <c r="F25" s="8"/>
      <c r="G25" s="203"/>
      <c r="H25" s="15">
        <f>G25-F25+1</f>
        <v>1</v>
      </c>
      <c r="I25" s="15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ht="15.75" thickBot="1" x14ac:dyDescent="0.3">
      <c r="A26" s="21"/>
      <c r="B26" s="7"/>
      <c r="C26" s="7"/>
      <c r="D26" s="7"/>
      <c r="E26" s="7"/>
      <c r="F26" s="8"/>
      <c r="G26" s="203"/>
      <c r="H26" s="15">
        <f>G26-F26+1</f>
        <v>1</v>
      </c>
      <c r="I26" s="15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22"/>
    </row>
    <row r="27" spans="1:15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79"/>
    </row>
    <row r="28" spans="1:15" ht="15.75" thickBot="1" x14ac:dyDescent="0.3"/>
    <row r="29" spans="1:15" ht="15.75" thickBot="1" x14ac:dyDescent="0.3">
      <c r="K29" s="579" t="s">
        <v>26</v>
      </c>
      <c r="L29" s="580"/>
      <c r="M29" s="581"/>
      <c r="N29" s="172">
        <f>N27+N19+N11</f>
        <v>1441.0940000000001</v>
      </c>
    </row>
  </sheetData>
  <mergeCells count="28">
    <mergeCell ref="A3:O3"/>
    <mergeCell ref="C4:M4"/>
    <mergeCell ref="C5:D5"/>
    <mergeCell ref="F5:G5"/>
    <mergeCell ref="J5:J6"/>
    <mergeCell ref="K5:K6"/>
    <mergeCell ref="L5:L6"/>
    <mergeCell ref="M5:M6"/>
    <mergeCell ref="N5:N6"/>
    <mergeCell ref="C12:M13"/>
    <mergeCell ref="C14:D14"/>
    <mergeCell ref="F14:G14"/>
    <mergeCell ref="J14:J15"/>
    <mergeCell ref="K14:K15"/>
    <mergeCell ref="L14:L15"/>
    <mergeCell ref="M14:M15"/>
    <mergeCell ref="N22:N23"/>
    <mergeCell ref="K29:M29"/>
    <mergeCell ref="N14:N15"/>
    <mergeCell ref="C20:M21"/>
    <mergeCell ref="A22:A23"/>
    <mergeCell ref="B22:B23"/>
    <mergeCell ref="C22:D22"/>
    <mergeCell ref="F22:H22"/>
    <mergeCell ref="J22:J23"/>
    <mergeCell ref="K22:K23"/>
    <mergeCell ref="L22:L23"/>
    <mergeCell ref="M22:M23"/>
  </mergeCell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8"/>
  <sheetViews>
    <sheetView topLeftCell="A4" zoomScale="120" zoomScaleNormal="120" workbookViewId="0">
      <selection activeCell="H8" sqref="H8"/>
    </sheetView>
  </sheetViews>
  <sheetFormatPr baseColWidth="10" defaultColWidth="11.42578125" defaultRowHeight="15" x14ac:dyDescent="0.25"/>
  <cols>
    <col min="1" max="1" width="3.5703125" customWidth="1"/>
    <col min="2" max="2" width="32.42578125" style="1" customWidth="1"/>
    <col min="3" max="4" width="9.42578125" style="1" customWidth="1"/>
    <col min="5" max="5" width="4.7109375" style="1" customWidth="1"/>
    <col min="6" max="7" width="9.42578125" style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1.140625" customWidth="1"/>
    <col min="15" max="15" width="17.28515625" style="82" bestFit="1" customWidth="1"/>
  </cols>
  <sheetData>
    <row r="1" spans="1:15" x14ac:dyDescent="0.25">
      <c r="A1" s="554" t="s">
        <v>46</v>
      </c>
      <c r="B1" s="554"/>
      <c r="C1"/>
      <c r="D1"/>
      <c r="E1"/>
      <c r="F1"/>
      <c r="G1"/>
      <c r="H1"/>
      <c r="I1"/>
      <c r="J1"/>
      <c r="M1" t="s">
        <v>69</v>
      </c>
      <c r="O1" t="s">
        <v>158</v>
      </c>
    </row>
    <row r="2" spans="1:15" x14ac:dyDescent="0.25">
      <c r="A2" s="554" t="s">
        <v>47</v>
      </c>
      <c r="B2" s="554"/>
      <c r="C2"/>
      <c r="D2"/>
      <c r="E2"/>
      <c r="F2"/>
      <c r="G2"/>
      <c r="H2"/>
      <c r="I2"/>
      <c r="J2"/>
      <c r="O2"/>
    </row>
    <row r="3" spans="1:15" ht="30.75" customHeight="1" thickBot="1" x14ac:dyDescent="0.5">
      <c r="A3" s="550" t="s">
        <v>159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129" t="s">
        <v>160</v>
      </c>
      <c r="C8" s="56"/>
      <c r="D8" s="56"/>
      <c r="E8" s="76">
        <f>D8-C8+1</f>
        <v>1</v>
      </c>
      <c r="F8" s="13">
        <v>45665</v>
      </c>
      <c r="G8" s="13">
        <v>45671</v>
      </c>
      <c r="H8" s="9">
        <f>G8-F8+1</f>
        <v>7</v>
      </c>
      <c r="I8" s="9">
        <f>H8-3</f>
        <v>4</v>
      </c>
      <c r="J8" s="14">
        <v>2500</v>
      </c>
      <c r="K8" s="14">
        <f>J8/30</f>
        <v>83.333333333333329</v>
      </c>
      <c r="L8" s="15">
        <f>+I8</f>
        <v>4</v>
      </c>
      <c r="M8" s="14">
        <f>K8*L8</f>
        <v>333.33333333333331</v>
      </c>
      <c r="N8" s="14">
        <f>M8*0.75</f>
        <v>250</v>
      </c>
      <c r="O8" s="17"/>
    </row>
    <row r="9" spans="1:15" ht="15.75" thickBot="1" x14ac:dyDescent="0.3">
      <c r="A9" s="6"/>
      <c r="B9" s="129"/>
      <c r="C9" s="56"/>
      <c r="D9" s="56"/>
      <c r="E9" s="76">
        <f>D9-C9+1</f>
        <v>1</v>
      </c>
      <c r="F9" s="13"/>
      <c r="G9" s="13"/>
      <c r="H9" s="9">
        <f>G9-F9+1</f>
        <v>1</v>
      </c>
      <c r="I9" s="9">
        <f>H9-3</f>
        <v>-2</v>
      </c>
      <c r="J9" s="14"/>
      <c r="K9" s="14">
        <f>J9/30</f>
        <v>0</v>
      </c>
      <c r="L9" s="15">
        <v>0</v>
      </c>
      <c r="M9" s="14">
        <f>K9*L9</f>
        <v>0</v>
      </c>
      <c r="N9" s="14">
        <f>M9*0.75</f>
        <v>0</v>
      </c>
      <c r="O9" s="17"/>
    </row>
    <row r="10" spans="1:15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250</v>
      </c>
      <c r="O10" s="79"/>
    </row>
    <row r="11" spans="1:15" ht="15" customHeight="1" x14ac:dyDescent="0.25">
      <c r="A11" s="4"/>
      <c r="B11" s="4"/>
      <c r="C11" s="476" t="s">
        <v>13</v>
      </c>
      <c r="D11" s="477"/>
      <c r="E11" s="477"/>
      <c r="F11" s="477"/>
      <c r="G11" s="477"/>
      <c r="H11" s="477"/>
      <c r="I11" s="477"/>
      <c r="J11" s="477"/>
      <c r="K11" s="477"/>
      <c r="L11" s="477"/>
      <c r="M11" s="478"/>
      <c r="N11" s="4"/>
      <c r="O11" s="79"/>
    </row>
    <row r="12" spans="1:15" ht="15.75" customHeight="1" thickBot="1" x14ac:dyDescent="0.3">
      <c r="A12" s="4"/>
      <c r="B12" s="4"/>
      <c r="C12" s="479"/>
      <c r="D12" s="480"/>
      <c r="E12" s="480"/>
      <c r="F12" s="480"/>
      <c r="G12" s="480"/>
      <c r="H12" s="480"/>
      <c r="I12" s="480"/>
      <c r="J12" s="480"/>
      <c r="K12" s="480"/>
      <c r="L12" s="480"/>
      <c r="M12" s="481"/>
      <c r="N12" s="4"/>
      <c r="O12" s="47"/>
    </row>
    <row r="13" spans="1:15" ht="33" customHeight="1" thickBot="1" x14ac:dyDescent="0.3">
      <c r="A13" s="105" t="s">
        <v>6</v>
      </c>
      <c r="B13" s="105" t="s">
        <v>8</v>
      </c>
      <c r="C13" s="582" t="s">
        <v>37</v>
      </c>
      <c r="D13" s="583"/>
      <c r="E13" s="75"/>
      <c r="F13" s="585" t="s">
        <v>40</v>
      </c>
      <c r="G13" s="586"/>
      <c r="H13" s="100" t="s">
        <v>7</v>
      </c>
      <c r="I13" s="20"/>
      <c r="J13" s="450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80" t="s">
        <v>11</v>
      </c>
    </row>
    <row r="14" spans="1:15" ht="15.75" thickBot="1" x14ac:dyDescent="0.3">
      <c r="A14" s="106"/>
      <c r="B14" s="106"/>
      <c r="C14" s="70" t="s">
        <v>38</v>
      </c>
      <c r="D14" s="70" t="s">
        <v>39</v>
      </c>
      <c r="E14" s="70"/>
      <c r="F14" s="5" t="s">
        <v>0</v>
      </c>
      <c r="G14" s="25" t="s">
        <v>1</v>
      </c>
      <c r="H14" s="24"/>
      <c r="I14" s="24"/>
      <c r="J14" s="451"/>
      <c r="K14" s="451"/>
      <c r="L14" s="451"/>
      <c r="M14" s="451"/>
      <c r="N14" s="451"/>
      <c r="O14" s="81"/>
    </row>
    <row r="15" spans="1:15" x14ac:dyDescent="0.25">
      <c r="A15" s="21"/>
      <c r="B15" s="3"/>
      <c r="C15" s="56">
        <v>0</v>
      </c>
      <c r="D15" s="56">
        <v>0</v>
      </c>
      <c r="E15" s="76">
        <f>D15-C15+1</f>
        <v>1</v>
      </c>
      <c r="F15" s="2">
        <v>0</v>
      </c>
      <c r="G15" s="2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22"/>
    </row>
    <row r="16" spans="1:15" x14ac:dyDescent="0.25">
      <c r="A16" s="21"/>
      <c r="B16" s="73"/>
      <c r="C16" s="56"/>
      <c r="D16" s="56"/>
      <c r="E16" s="76">
        <f>D16-C16+1</f>
        <v>1</v>
      </c>
      <c r="F16" s="74"/>
      <c r="G16" s="8"/>
      <c r="H16" s="9">
        <f>G16-F16+1</f>
        <v>1</v>
      </c>
      <c r="I16" s="9"/>
      <c r="J16" s="10"/>
      <c r="K16" s="10">
        <f>J16/30</f>
        <v>0</v>
      </c>
      <c r="L16" s="9"/>
      <c r="M16" s="10">
        <f>K16*L16</f>
        <v>0</v>
      </c>
      <c r="N16" s="10">
        <f>M16*0.9</f>
        <v>0</v>
      </c>
      <c r="O16" s="22"/>
    </row>
    <row r="17" spans="1:15" ht="15.75" thickBot="1" x14ac:dyDescent="0.3">
      <c r="A17" s="21"/>
      <c r="B17" s="73"/>
      <c r="C17" s="56"/>
      <c r="D17" s="56"/>
      <c r="E17" s="76">
        <f>D17-C17+1</f>
        <v>1</v>
      </c>
      <c r="F17" s="74"/>
      <c r="G17" s="8"/>
      <c r="H17" s="9">
        <f>G17-F17+1</f>
        <v>1</v>
      </c>
      <c r="I17" s="9"/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22"/>
    </row>
    <row r="18" spans="1:15" ht="15.75" thickBot="1" x14ac:dyDescent="0.3">
      <c r="A18" s="4"/>
      <c r="B18" s="18"/>
      <c r="C18" s="72"/>
      <c r="D18" s="72"/>
      <c r="E18" s="72"/>
      <c r="F18" s="18"/>
      <c r="G18" s="18"/>
      <c r="H18" s="18"/>
      <c r="I18" s="18"/>
      <c r="J18" s="18"/>
      <c r="K18" s="4"/>
      <c r="L18" s="4"/>
      <c r="M18" s="4"/>
      <c r="N18" s="27">
        <f>SUM(N15:N17)</f>
        <v>0</v>
      </c>
      <c r="O18" s="79"/>
    </row>
    <row r="19" spans="1:15" ht="15" customHeight="1" x14ac:dyDescent="0.25">
      <c r="A19" s="4"/>
      <c r="B19" s="4"/>
      <c r="C19" s="476" t="s">
        <v>25</v>
      </c>
      <c r="D19" s="477"/>
      <c r="E19" s="477"/>
      <c r="F19" s="477"/>
      <c r="G19" s="477"/>
      <c r="H19" s="477"/>
      <c r="I19" s="477"/>
      <c r="J19" s="477"/>
      <c r="K19" s="477"/>
      <c r="L19" s="477"/>
      <c r="M19" s="478"/>
      <c r="N19" s="4"/>
      <c r="O19" s="79"/>
    </row>
    <row r="20" spans="1:15" ht="15.75" customHeight="1" thickBot="1" x14ac:dyDescent="0.3">
      <c r="A20" s="4"/>
      <c r="B20" s="4"/>
      <c r="C20" s="479"/>
      <c r="D20" s="480"/>
      <c r="E20" s="480"/>
      <c r="F20" s="480"/>
      <c r="G20" s="480"/>
      <c r="H20" s="480"/>
      <c r="I20" s="480"/>
      <c r="J20" s="480"/>
      <c r="K20" s="480"/>
      <c r="L20" s="480"/>
      <c r="M20" s="481"/>
      <c r="N20" s="4"/>
      <c r="O20" s="47"/>
    </row>
    <row r="21" spans="1:15" ht="32.25" customHeight="1" thickBot="1" x14ac:dyDescent="0.3">
      <c r="A21" s="472" t="s">
        <v>6</v>
      </c>
      <c r="B21" s="472" t="s">
        <v>8</v>
      </c>
      <c r="C21" s="582" t="s">
        <v>37</v>
      </c>
      <c r="D21" s="583"/>
      <c r="E21" s="75"/>
      <c r="F21" s="460" t="s">
        <v>40</v>
      </c>
      <c r="G21" s="584"/>
      <c r="H21" s="605"/>
      <c r="I21" s="20"/>
      <c r="J21" s="450" t="s">
        <v>2</v>
      </c>
      <c r="K21" s="450" t="s">
        <v>3</v>
      </c>
      <c r="L21" s="450" t="s">
        <v>4</v>
      </c>
      <c r="M21" s="450" t="s">
        <v>5</v>
      </c>
      <c r="N21" s="450" t="s">
        <v>10</v>
      </c>
      <c r="O21" s="80" t="s">
        <v>11</v>
      </c>
    </row>
    <row r="22" spans="1:15" ht="15.75" thickBot="1" x14ac:dyDescent="0.3">
      <c r="A22" s="473"/>
      <c r="B22" s="473"/>
      <c r="C22" s="70" t="s">
        <v>38</v>
      </c>
      <c r="D22" s="70" t="s">
        <v>39</v>
      </c>
      <c r="E22" s="70"/>
      <c r="F22" s="24" t="s">
        <v>0</v>
      </c>
      <c r="G22" s="107" t="s">
        <v>1</v>
      </c>
      <c r="H22" s="208"/>
      <c r="I22" s="208"/>
      <c r="J22" s="451"/>
      <c r="K22" s="451"/>
      <c r="L22" s="451"/>
      <c r="M22" s="451"/>
      <c r="N22" s="451"/>
      <c r="O22" s="81"/>
    </row>
    <row r="23" spans="1:15" x14ac:dyDescent="0.25">
      <c r="A23" s="21"/>
      <c r="B23" s="7"/>
      <c r="C23" s="56">
        <v>0</v>
      </c>
      <c r="D23" s="56">
        <v>0</v>
      </c>
      <c r="E23" s="55"/>
      <c r="F23" s="8">
        <v>0</v>
      </c>
      <c r="G23" s="203">
        <v>0</v>
      </c>
      <c r="H23" s="15">
        <f>G23-F23+1</f>
        <v>1</v>
      </c>
      <c r="I23" s="15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22"/>
    </row>
    <row r="24" spans="1:15" x14ac:dyDescent="0.25">
      <c r="A24" s="21"/>
      <c r="B24" s="7"/>
      <c r="C24" s="7"/>
      <c r="D24" s="7"/>
      <c r="E24" s="7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ht="15.75" thickBot="1" x14ac:dyDescent="0.3">
      <c r="A25" s="21"/>
      <c r="B25" s="7"/>
      <c r="C25" s="7"/>
      <c r="D25" s="7"/>
      <c r="E25" s="7"/>
      <c r="F25" s="8"/>
      <c r="G25" s="203"/>
      <c r="H25" s="15">
        <f>G25-F25+1</f>
        <v>1</v>
      </c>
      <c r="I25" s="15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22"/>
    </row>
    <row r="26" spans="1:15" ht="15.75" thickBot="1" x14ac:dyDescent="0.3">
      <c r="A26" s="4"/>
      <c r="B26" s="18"/>
      <c r="C26" s="18"/>
      <c r="D26" s="18"/>
      <c r="E26" s="18"/>
      <c r="F26" s="18"/>
      <c r="G26" s="18"/>
      <c r="H26" s="15"/>
      <c r="I26" s="15"/>
      <c r="J26" s="18"/>
      <c r="K26" s="4"/>
      <c r="L26" s="4"/>
      <c r="M26" s="4"/>
      <c r="N26" s="27">
        <f>SUM(N23:N25)</f>
        <v>0</v>
      </c>
      <c r="O26" s="79"/>
    </row>
    <row r="27" spans="1:15" ht="15.75" thickBot="1" x14ac:dyDescent="0.3">
      <c r="H27" s="209"/>
      <c r="I27" s="209"/>
    </row>
    <row r="28" spans="1:15" ht="15.75" thickBot="1" x14ac:dyDescent="0.3">
      <c r="K28" s="579" t="s">
        <v>26</v>
      </c>
      <c r="L28" s="580"/>
      <c r="M28" s="581"/>
      <c r="N28" s="172">
        <f>N26+N18+N10</f>
        <v>250</v>
      </c>
    </row>
  </sheetData>
  <mergeCells count="30">
    <mergeCell ref="A1:B1"/>
    <mergeCell ref="A2:B2"/>
    <mergeCell ref="N21:N22"/>
    <mergeCell ref="K28:M28"/>
    <mergeCell ref="N13:N14"/>
    <mergeCell ref="C19:M20"/>
    <mergeCell ref="A21:A22"/>
    <mergeCell ref="B21:B22"/>
    <mergeCell ref="C21:D21"/>
    <mergeCell ref="F21:H21"/>
    <mergeCell ref="J21:J22"/>
    <mergeCell ref="K21:K22"/>
    <mergeCell ref="L21:L22"/>
    <mergeCell ref="M21:M22"/>
    <mergeCell ref="C11:M12"/>
    <mergeCell ref="C13:D13"/>
    <mergeCell ref="F13:G13"/>
    <mergeCell ref="J13:J14"/>
    <mergeCell ref="K13:K14"/>
    <mergeCell ref="L13:L14"/>
    <mergeCell ref="M13:M14"/>
    <mergeCell ref="A3:O3"/>
    <mergeCell ref="C4:M4"/>
    <mergeCell ref="C5:D5"/>
    <mergeCell ref="F5:G5"/>
    <mergeCell ref="J5:J6"/>
    <mergeCell ref="K5:K6"/>
    <mergeCell ref="L5:L6"/>
    <mergeCell ref="M5:M6"/>
    <mergeCell ref="N5:N6"/>
  </mergeCells>
  <pageMargins left="0.51181102362204722" right="0.31496062992125984" top="0.74803149606299213" bottom="0.74803149606299213" header="0.31496062992125984" footer="0.31496062992125984"/>
  <pageSetup scale="80" orientation="landscape" horizontalDpi="4294967292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7"/>
  <sheetViews>
    <sheetView zoomScale="120" zoomScaleNormal="120" workbookViewId="0">
      <selection activeCell="J16" sqref="J16"/>
    </sheetView>
  </sheetViews>
  <sheetFormatPr baseColWidth="10" defaultColWidth="11.42578125" defaultRowHeight="15" x14ac:dyDescent="0.25"/>
  <cols>
    <col min="1" max="1" width="3.5703125" customWidth="1"/>
    <col min="2" max="2" width="27.85546875" style="1" customWidth="1"/>
    <col min="3" max="4" width="9.42578125" style="1" customWidth="1"/>
    <col min="5" max="5" width="4.7109375" style="1" customWidth="1"/>
    <col min="6" max="6" width="9.42578125" style="1" customWidth="1"/>
    <col min="7" max="7" width="9.140625" style="1" bestFit="1" customWidth="1"/>
    <col min="8" max="8" width="4.85546875" style="1" customWidth="1"/>
    <col min="9" max="9" width="4.5703125" style="1" customWidth="1"/>
    <col min="10" max="10" width="11.42578125" style="1"/>
    <col min="11" max="11" width="9.7109375" customWidth="1"/>
    <col min="12" max="12" width="7.140625" customWidth="1"/>
    <col min="13" max="13" width="10" customWidth="1"/>
    <col min="15" max="15" width="17.28515625" style="82" bestFit="1" customWidth="1"/>
  </cols>
  <sheetData>
    <row r="1" spans="1:15" x14ac:dyDescent="0.25">
      <c r="B1" s="503" t="s">
        <v>46</v>
      </c>
      <c r="C1" s="503"/>
      <c r="D1" s="274"/>
      <c r="E1" s="274"/>
      <c r="F1" s="274"/>
      <c r="G1" s="274"/>
      <c r="H1" s="274"/>
      <c r="I1" s="274"/>
      <c r="J1" s="274"/>
      <c r="M1" s="303" t="s">
        <v>113</v>
      </c>
      <c r="N1" s="303" t="s">
        <v>114</v>
      </c>
      <c r="O1" s="246" t="s">
        <v>115</v>
      </c>
    </row>
    <row r="2" spans="1:15" x14ac:dyDescent="0.25">
      <c r="B2" s="503" t="s">
        <v>47</v>
      </c>
      <c r="C2" s="503"/>
      <c r="D2" s="274"/>
      <c r="E2" s="274"/>
      <c r="F2" s="274"/>
      <c r="G2" s="274"/>
      <c r="H2" s="274"/>
      <c r="I2" s="274"/>
      <c r="J2" s="274"/>
    </row>
    <row r="3" spans="1:15" ht="30.75" customHeight="1" thickBot="1" x14ac:dyDescent="0.5">
      <c r="A3" s="550" t="s">
        <v>112</v>
      </c>
      <c r="B3" s="550"/>
      <c r="C3" s="550"/>
      <c r="D3" s="550"/>
      <c r="E3" s="550"/>
      <c r="F3" s="550"/>
      <c r="G3" s="550"/>
      <c r="H3" s="550"/>
      <c r="I3" s="550"/>
      <c r="J3" s="550"/>
      <c r="K3" s="550"/>
      <c r="L3" s="550"/>
      <c r="M3" s="550"/>
      <c r="N3" s="550"/>
      <c r="O3" s="550"/>
    </row>
    <row r="4" spans="1:15" ht="25.5" customHeight="1" thickBot="1" x14ac:dyDescent="0.3">
      <c r="A4" s="4"/>
      <c r="B4" s="4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9"/>
      <c r="N4" s="4"/>
      <c r="O4" s="79"/>
    </row>
    <row r="5" spans="1:15" ht="27.75" customHeight="1" thickBot="1" x14ac:dyDescent="0.3">
      <c r="A5" s="101" t="s">
        <v>6</v>
      </c>
      <c r="B5" s="105" t="s">
        <v>8</v>
      </c>
      <c r="C5" s="582" t="s">
        <v>37</v>
      </c>
      <c r="D5" s="587"/>
      <c r="E5" s="77"/>
      <c r="F5" s="585" t="s">
        <v>40</v>
      </c>
      <c r="G5" s="586"/>
      <c r="H5" s="103" t="s">
        <v>7</v>
      </c>
      <c r="I5" s="100"/>
      <c r="J5" s="450" t="s">
        <v>2</v>
      </c>
      <c r="K5" s="450" t="s">
        <v>3</v>
      </c>
      <c r="L5" s="450" t="s">
        <v>4</v>
      </c>
      <c r="M5" s="450" t="s">
        <v>5</v>
      </c>
      <c r="N5" s="450" t="s">
        <v>9</v>
      </c>
      <c r="O5" s="80" t="s">
        <v>11</v>
      </c>
    </row>
    <row r="6" spans="1:15" ht="15.75" thickBot="1" x14ac:dyDescent="0.3">
      <c r="A6" s="102"/>
      <c r="B6" s="106"/>
      <c r="C6" s="70" t="s">
        <v>38</v>
      </c>
      <c r="D6" s="70" t="s">
        <v>39</v>
      </c>
      <c r="E6" s="78"/>
      <c r="F6" s="5" t="s">
        <v>0</v>
      </c>
      <c r="G6" s="25" t="s">
        <v>1</v>
      </c>
      <c r="H6" s="104"/>
      <c r="I6" s="24"/>
      <c r="J6" s="451"/>
      <c r="K6" s="451"/>
      <c r="L6" s="451"/>
      <c r="M6" s="451"/>
      <c r="N6" s="451"/>
      <c r="O6" s="81"/>
    </row>
    <row r="7" spans="1:15" x14ac:dyDescent="0.25">
      <c r="A7" s="6"/>
      <c r="B7" s="7"/>
      <c r="C7" s="55"/>
      <c r="D7" s="55"/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129"/>
      <c r="C8" s="56"/>
      <c r="D8" s="56"/>
      <c r="E8" s="76">
        <f>D8-C8+1</f>
        <v>1</v>
      </c>
      <c r="F8" s="13"/>
      <c r="G8" s="13"/>
      <c r="H8" s="9">
        <f>G8-F8+1</f>
        <v>1</v>
      </c>
      <c r="I8" s="9">
        <f>H8-3</f>
        <v>-2</v>
      </c>
      <c r="J8" s="14"/>
      <c r="K8" s="14">
        <f>J8/30</f>
        <v>0</v>
      </c>
      <c r="L8" s="15"/>
      <c r="M8" s="14">
        <f>K8*L8</f>
        <v>0</v>
      </c>
      <c r="N8" s="14">
        <f>M8*0.75</f>
        <v>0</v>
      </c>
      <c r="O8" s="17"/>
    </row>
    <row r="9" spans="1:15" ht="15.75" thickBot="1" x14ac:dyDescent="0.3">
      <c r="A9" s="6"/>
      <c r="B9" s="129"/>
      <c r="C9" s="56"/>
      <c r="D9" s="56"/>
      <c r="E9" s="76">
        <f>D9-C9+1</f>
        <v>1</v>
      </c>
      <c r="F9" s="13"/>
      <c r="G9" s="13"/>
      <c r="H9" s="9">
        <f>G9-F9+1</f>
        <v>1</v>
      </c>
      <c r="I9" s="9">
        <f>H9-3</f>
        <v>-2</v>
      </c>
      <c r="J9" s="14"/>
      <c r="K9" s="14">
        <f>J9/30</f>
        <v>0</v>
      </c>
      <c r="L9" s="15"/>
      <c r="M9" s="14">
        <f>K9*L9</f>
        <v>0</v>
      </c>
      <c r="N9" s="14">
        <f>M9*0.75</f>
        <v>0</v>
      </c>
      <c r="O9" s="17"/>
    </row>
    <row r="10" spans="1:15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0</v>
      </c>
      <c r="O10" s="79"/>
    </row>
    <row r="11" spans="1:15" ht="15" customHeight="1" x14ac:dyDescent="0.25">
      <c r="A11" s="4"/>
      <c r="B11" s="4"/>
      <c r="C11" s="476" t="s">
        <v>13</v>
      </c>
      <c r="D11" s="477"/>
      <c r="E11" s="477"/>
      <c r="F11" s="477"/>
      <c r="G11" s="477"/>
      <c r="H11" s="477"/>
      <c r="I11" s="477"/>
      <c r="J11" s="477"/>
      <c r="K11" s="477"/>
      <c r="L11" s="477"/>
      <c r="M11" s="478"/>
      <c r="N11" s="4"/>
      <c r="O11" s="79"/>
    </row>
    <row r="12" spans="1:15" ht="15.75" customHeight="1" thickBot="1" x14ac:dyDescent="0.3">
      <c r="A12" s="4"/>
      <c r="B12" s="4"/>
      <c r="C12" s="479"/>
      <c r="D12" s="480"/>
      <c r="E12" s="480"/>
      <c r="F12" s="480"/>
      <c r="G12" s="480"/>
      <c r="H12" s="480"/>
      <c r="I12" s="480"/>
      <c r="J12" s="480"/>
      <c r="K12" s="480"/>
      <c r="L12" s="480"/>
      <c r="M12" s="481"/>
      <c r="N12" s="4"/>
      <c r="O12" s="47"/>
    </row>
    <row r="13" spans="1:15" ht="33" customHeight="1" thickBot="1" x14ac:dyDescent="0.3">
      <c r="A13" s="105" t="s">
        <v>6</v>
      </c>
      <c r="B13" s="105" t="s">
        <v>8</v>
      </c>
      <c r="C13" s="582" t="s">
        <v>37</v>
      </c>
      <c r="D13" s="583"/>
      <c r="E13" s="75"/>
      <c r="F13" s="585" t="s">
        <v>40</v>
      </c>
      <c r="G13" s="586"/>
      <c r="H13" s="100" t="s">
        <v>7</v>
      </c>
      <c r="I13" s="20"/>
      <c r="J13" s="450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80" t="s">
        <v>11</v>
      </c>
    </row>
    <row r="14" spans="1:15" ht="15.75" thickBot="1" x14ac:dyDescent="0.3">
      <c r="A14" s="106"/>
      <c r="B14" s="106"/>
      <c r="C14" s="70" t="s">
        <v>38</v>
      </c>
      <c r="D14" s="70" t="s">
        <v>39</v>
      </c>
      <c r="E14" s="70"/>
      <c r="F14" s="5" t="s">
        <v>0</v>
      </c>
      <c r="G14" s="25" t="s">
        <v>1</v>
      </c>
      <c r="H14" s="24"/>
      <c r="I14" s="24"/>
      <c r="J14" s="451"/>
      <c r="K14" s="451"/>
      <c r="L14" s="451"/>
      <c r="M14" s="451"/>
      <c r="N14" s="451"/>
      <c r="O14" s="81"/>
    </row>
    <row r="15" spans="1:15" x14ac:dyDescent="0.25">
      <c r="A15" s="21"/>
      <c r="B15" s="3"/>
      <c r="C15" s="56">
        <v>0</v>
      </c>
      <c r="D15" s="56">
        <v>0</v>
      </c>
      <c r="E15" s="76">
        <f>D15-C15+1</f>
        <v>1</v>
      </c>
      <c r="F15" s="2">
        <v>0</v>
      </c>
      <c r="G15" s="2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22"/>
    </row>
    <row r="16" spans="1:15" ht="15.75" thickBot="1" x14ac:dyDescent="0.3">
      <c r="A16" s="21">
        <v>1</v>
      </c>
      <c r="B16" s="244"/>
      <c r="C16" s="56"/>
      <c r="D16" s="56">
        <v>45654</v>
      </c>
      <c r="E16" s="76">
        <f>D16-C16+1</f>
        <v>45655</v>
      </c>
      <c r="F16" s="74"/>
      <c r="G16" s="8"/>
      <c r="H16" s="9">
        <f>G16-F16+1</f>
        <v>1</v>
      </c>
      <c r="I16" s="9"/>
      <c r="J16" s="10"/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22"/>
    </row>
    <row r="17" spans="1:15" ht="15.75" thickBot="1" x14ac:dyDescent="0.3">
      <c r="A17" s="4"/>
      <c r="B17" s="18"/>
      <c r="C17" s="72"/>
      <c r="D17" s="72"/>
      <c r="E17" s="72"/>
      <c r="F17" s="18"/>
      <c r="G17" s="18"/>
      <c r="H17" s="18"/>
      <c r="I17" s="18"/>
      <c r="J17" s="18"/>
      <c r="K17" s="4"/>
      <c r="L17" s="4"/>
      <c r="M17" s="4"/>
      <c r="N17" s="27">
        <f>SUM(N15:N16)</f>
        <v>0</v>
      </c>
      <c r="O17" s="79"/>
    </row>
    <row r="18" spans="1:15" ht="15" customHeight="1" x14ac:dyDescent="0.25">
      <c r="A18" s="4"/>
      <c r="B18" s="4"/>
      <c r="C18" s="476" t="s">
        <v>25</v>
      </c>
      <c r="D18" s="477"/>
      <c r="E18" s="477"/>
      <c r="F18" s="477"/>
      <c r="G18" s="477"/>
      <c r="H18" s="477"/>
      <c r="I18" s="477"/>
      <c r="J18" s="477"/>
      <c r="K18" s="477"/>
      <c r="L18" s="477"/>
      <c r="M18" s="478"/>
      <c r="N18" s="4"/>
      <c r="O18" s="79"/>
    </row>
    <row r="19" spans="1:15" ht="15.75" customHeight="1" thickBot="1" x14ac:dyDescent="0.3">
      <c r="A19" s="4"/>
      <c r="B19" s="4"/>
      <c r="C19" s="479"/>
      <c r="D19" s="480"/>
      <c r="E19" s="480"/>
      <c r="F19" s="480"/>
      <c r="G19" s="480"/>
      <c r="H19" s="480"/>
      <c r="I19" s="480"/>
      <c r="J19" s="480"/>
      <c r="K19" s="480"/>
      <c r="L19" s="480"/>
      <c r="M19" s="481"/>
      <c r="N19" s="4"/>
      <c r="O19" s="47"/>
    </row>
    <row r="20" spans="1:15" ht="32.25" customHeight="1" thickBot="1" x14ac:dyDescent="0.3">
      <c r="A20" s="472" t="s">
        <v>6</v>
      </c>
      <c r="B20" s="472" t="s">
        <v>8</v>
      </c>
      <c r="C20" s="582" t="s">
        <v>37</v>
      </c>
      <c r="D20" s="583"/>
      <c r="E20" s="75"/>
      <c r="F20" s="460" t="s">
        <v>40</v>
      </c>
      <c r="G20" s="584"/>
      <c r="H20" s="605"/>
      <c r="I20" s="20"/>
      <c r="J20" s="450" t="s">
        <v>2</v>
      </c>
      <c r="K20" s="450" t="s">
        <v>3</v>
      </c>
      <c r="L20" s="450" t="s">
        <v>4</v>
      </c>
      <c r="M20" s="450" t="s">
        <v>5</v>
      </c>
      <c r="N20" s="450" t="s">
        <v>10</v>
      </c>
      <c r="O20" s="80" t="s">
        <v>11</v>
      </c>
    </row>
    <row r="21" spans="1:15" ht="15.75" thickBot="1" x14ac:dyDescent="0.3">
      <c r="A21" s="473"/>
      <c r="B21" s="473"/>
      <c r="C21" s="70" t="s">
        <v>38</v>
      </c>
      <c r="D21" s="70" t="s">
        <v>39</v>
      </c>
      <c r="E21" s="70"/>
      <c r="F21" s="24" t="s">
        <v>0</v>
      </c>
      <c r="G21" s="107" t="s">
        <v>1</v>
      </c>
      <c r="H21" s="208"/>
      <c r="I21" s="208"/>
      <c r="J21" s="451"/>
      <c r="K21" s="451"/>
      <c r="L21" s="451"/>
      <c r="M21" s="451"/>
      <c r="N21" s="451"/>
      <c r="O21" s="81"/>
    </row>
    <row r="22" spans="1:15" x14ac:dyDescent="0.25">
      <c r="A22" s="21"/>
      <c r="B22" s="7"/>
      <c r="C22" s="56">
        <v>0</v>
      </c>
      <c r="D22" s="56">
        <v>0</v>
      </c>
      <c r="E22" s="55"/>
      <c r="F22" s="8">
        <v>0</v>
      </c>
      <c r="G22" s="203">
        <v>0</v>
      </c>
      <c r="H22" s="15">
        <f>G22-F22+1</f>
        <v>1</v>
      </c>
      <c r="I22" s="15"/>
      <c r="J22" s="10">
        <v>0</v>
      </c>
      <c r="K22" s="10">
        <f>J22/30</f>
        <v>0</v>
      </c>
      <c r="L22" s="9"/>
      <c r="M22" s="10">
        <f>K22*L22</f>
        <v>0</v>
      </c>
      <c r="N22" s="10">
        <f>M22*0.9</f>
        <v>0</v>
      </c>
      <c r="O22" s="22"/>
    </row>
    <row r="23" spans="1:15" x14ac:dyDescent="0.25">
      <c r="A23" s="21"/>
      <c r="B23" s="7"/>
      <c r="C23" s="7"/>
      <c r="D23" s="7"/>
      <c r="E23" s="7"/>
      <c r="F23" s="8"/>
      <c r="G23" s="203"/>
      <c r="H23" s="15">
        <f>G23-F23+1</f>
        <v>1</v>
      </c>
      <c r="I23" s="15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22"/>
    </row>
    <row r="24" spans="1:15" ht="15.75" thickBot="1" x14ac:dyDescent="0.3">
      <c r="A24" s="21"/>
      <c r="B24" s="7"/>
      <c r="C24" s="7"/>
      <c r="D24" s="7"/>
      <c r="E24" s="7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22"/>
    </row>
    <row r="25" spans="1:15" ht="15.75" thickBot="1" x14ac:dyDescent="0.3">
      <c r="A25" s="4"/>
      <c r="B25" s="18"/>
      <c r="C25" s="18"/>
      <c r="D25" s="18"/>
      <c r="E25" s="18"/>
      <c r="F25" s="18"/>
      <c r="G25" s="18"/>
      <c r="H25" s="276"/>
      <c r="I25" s="276"/>
      <c r="J25" s="18"/>
      <c r="K25" s="4"/>
      <c r="L25" s="4"/>
      <c r="M25" s="4"/>
      <c r="N25" s="27">
        <f>SUM(N22:N24)</f>
        <v>0</v>
      </c>
      <c r="O25" s="79"/>
    </row>
    <row r="26" spans="1:15" ht="15.75" thickBot="1" x14ac:dyDescent="0.3">
      <c r="H26" s="276"/>
      <c r="I26" s="276"/>
    </row>
    <row r="27" spans="1:15" ht="15.75" thickBot="1" x14ac:dyDescent="0.3">
      <c r="H27" s="276"/>
      <c r="I27" s="276"/>
      <c r="K27" s="579" t="s">
        <v>26</v>
      </c>
      <c r="L27" s="580"/>
      <c r="M27" s="581"/>
      <c r="N27" s="172">
        <f>N25+N17+N10</f>
        <v>0</v>
      </c>
    </row>
  </sheetData>
  <mergeCells count="30">
    <mergeCell ref="B1:C1"/>
    <mergeCell ref="B2:C2"/>
    <mergeCell ref="A3:O3"/>
    <mergeCell ref="C4:M4"/>
    <mergeCell ref="C5:D5"/>
    <mergeCell ref="F5:G5"/>
    <mergeCell ref="J5:J6"/>
    <mergeCell ref="K5:K6"/>
    <mergeCell ref="L5:L6"/>
    <mergeCell ref="M5:M6"/>
    <mergeCell ref="N5:N6"/>
    <mergeCell ref="C11:M12"/>
    <mergeCell ref="C13:D13"/>
    <mergeCell ref="F13:G13"/>
    <mergeCell ref="J13:J14"/>
    <mergeCell ref="K13:K14"/>
    <mergeCell ref="L13:L14"/>
    <mergeCell ref="M13:M14"/>
    <mergeCell ref="N20:N21"/>
    <mergeCell ref="K27:M27"/>
    <mergeCell ref="N13:N14"/>
    <mergeCell ref="C18:M19"/>
    <mergeCell ref="A20:A21"/>
    <mergeCell ref="B20:B21"/>
    <mergeCell ref="C20:D20"/>
    <mergeCell ref="F20:H20"/>
    <mergeCell ref="J20:J21"/>
    <mergeCell ref="K20:K21"/>
    <mergeCell ref="L20:L21"/>
    <mergeCell ref="M20:M21"/>
  </mergeCells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9"/>
  <sheetViews>
    <sheetView view="pageBreakPreview" zoomScale="110" zoomScaleNormal="115" zoomScaleSheetLayoutView="110" workbookViewId="0">
      <selection activeCell="C20" sqref="C20:N21"/>
    </sheetView>
  </sheetViews>
  <sheetFormatPr baseColWidth="10" defaultColWidth="11.42578125" defaultRowHeight="15" x14ac:dyDescent="0.25"/>
  <cols>
    <col min="1" max="1" width="3.5703125" style="48" customWidth="1"/>
    <col min="2" max="2" width="35.140625" style="48" bestFit="1" customWidth="1"/>
    <col min="3" max="4" width="9.42578125" style="48" bestFit="1" customWidth="1"/>
    <col min="5" max="5" width="4.85546875" style="48" customWidth="1"/>
    <col min="6" max="6" width="5.85546875" style="48" customWidth="1"/>
    <col min="7" max="8" width="9.28515625" style="48" customWidth="1"/>
    <col min="9" max="9" width="10.85546875" style="48" customWidth="1"/>
    <col min="10" max="10" width="5.7109375" style="48" bestFit="1" customWidth="1"/>
    <col min="11" max="11" width="6.7109375" style="48" bestFit="1" customWidth="1"/>
    <col min="12" max="13" width="8.85546875" style="48" customWidth="1"/>
    <col min="14" max="14" width="11.42578125" style="48"/>
    <col min="15" max="15" width="15" style="48" bestFit="1" customWidth="1"/>
    <col min="16" max="16" width="17.28515625" style="48" bestFit="1" customWidth="1"/>
    <col min="17" max="16384" width="11.42578125" style="48"/>
  </cols>
  <sheetData>
    <row r="1" spans="1:16" x14ac:dyDescent="0.25">
      <c r="A1" s="612" t="s">
        <v>46</v>
      </c>
      <c r="B1" s="612"/>
      <c r="N1" s="304" t="s">
        <v>81</v>
      </c>
      <c r="P1" s="131" t="s">
        <v>67</v>
      </c>
    </row>
    <row r="2" spans="1:16" x14ac:dyDescent="0.25">
      <c r="A2" s="612" t="s">
        <v>47</v>
      </c>
      <c r="B2" s="612"/>
    </row>
    <row r="3" spans="1:16" ht="46.5" thickBot="1" x14ac:dyDescent="0.3">
      <c r="A3" s="613" t="s">
        <v>44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</row>
    <row r="4" spans="1:16" ht="23.25" thickBot="1" x14ac:dyDescent="0.3">
      <c r="A4" s="31"/>
      <c r="B4" s="31"/>
      <c r="C4" s="487" t="s">
        <v>17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9"/>
      <c r="O4" s="31"/>
      <c r="P4" s="31"/>
    </row>
    <row r="5" spans="1:16" ht="27" customHeight="1" thickBot="1" x14ac:dyDescent="0.3">
      <c r="A5" s="490" t="s">
        <v>6</v>
      </c>
      <c r="B5" s="472" t="s">
        <v>8</v>
      </c>
      <c r="C5" s="494" t="s">
        <v>14</v>
      </c>
      <c r="D5" s="495"/>
      <c r="E5" s="464" t="s">
        <v>7</v>
      </c>
      <c r="F5" s="450" t="s">
        <v>35</v>
      </c>
      <c r="G5" s="610" t="s">
        <v>12</v>
      </c>
      <c r="H5" s="611"/>
      <c r="I5" s="592" t="s">
        <v>2</v>
      </c>
      <c r="J5" s="464" t="s">
        <v>7</v>
      </c>
      <c r="K5" s="450" t="s">
        <v>35</v>
      </c>
      <c r="L5" s="464" t="s">
        <v>3</v>
      </c>
      <c r="M5" s="464" t="s">
        <v>4</v>
      </c>
      <c r="N5" s="464" t="s">
        <v>5</v>
      </c>
      <c r="O5" s="498" t="s">
        <v>9</v>
      </c>
      <c r="P5" s="482" t="s">
        <v>11</v>
      </c>
    </row>
    <row r="6" spans="1:16" ht="15.75" thickBot="1" x14ac:dyDescent="0.3">
      <c r="A6" s="491"/>
      <c r="B6" s="473"/>
      <c r="C6" s="5" t="s">
        <v>0</v>
      </c>
      <c r="D6" s="396" t="s">
        <v>1</v>
      </c>
      <c r="E6" s="465"/>
      <c r="F6" s="451"/>
      <c r="G6" s="5" t="s">
        <v>0</v>
      </c>
      <c r="H6" s="5" t="s">
        <v>1</v>
      </c>
      <c r="I6" s="593"/>
      <c r="J6" s="465"/>
      <c r="K6" s="451"/>
      <c r="L6" s="465"/>
      <c r="M6" s="465"/>
      <c r="N6" s="465"/>
      <c r="O6" s="499"/>
      <c r="P6" s="483"/>
    </row>
    <row r="7" spans="1:16" x14ac:dyDescent="0.25">
      <c r="A7" s="45"/>
      <c r="B7" s="30"/>
      <c r="C7" s="8">
        <v>0</v>
      </c>
      <c r="D7" s="8">
        <v>0</v>
      </c>
      <c r="E7" s="9">
        <f>D7-C7+1</f>
        <v>1</v>
      </c>
      <c r="F7" s="9">
        <f>E7-3</f>
        <v>-2</v>
      </c>
      <c r="G7" s="8"/>
      <c r="H7" s="8"/>
      <c r="I7" s="10">
        <v>0</v>
      </c>
      <c r="J7" s="9">
        <f>I7-H7+1</f>
        <v>1</v>
      </c>
      <c r="K7" s="9">
        <f>J7-3</f>
        <v>-2</v>
      </c>
      <c r="L7" s="10">
        <f>I7/30</f>
        <v>0</v>
      </c>
      <c r="M7" s="9"/>
      <c r="N7" s="10">
        <f>L7*M7</f>
        <v>0</v>
      </c>
      <c r="O7" s="150">
        <f t="shared" ref="O7:O9" si="0">N7*0.75</f>
        <v>0</v>
      </c>
      <c r="P7" s="11"/>
    </row>
    <row r="8" spans="1:16" x14ac:dyDescent="0.25">
      <c r="A8" s="258">
        <v>1</v>
      </c>
      <c r="B8" s="329" t="s">
        <v>162</v>
      </c>
      <c r="C8" s="330">
        <v>45656</v>
      </c>
      <c r="D8" s="330">
        <v>45676</v>
      </c>
      <c r="E8" s="331">
        <f t="shared" ref="E8:E9" si="1">D8-C8+1</f>
        <v>21</v>
      </c>
      <c r="F8" s="331">
        <f t="shared" ref="F8:F9" si="2">E8-3</f>
        <v>18</v>
      </c>
      <c r="G8" s="330">
        <v>45658</v>
      </c>
      <c r="H8" s="330">
        <v>45676</v>
      </c>
      <c r="I8" s="332">
        <v>3552.25</v>
      </c>
      <c r="J8" s="333">
        <f t="shared" ref="J8:J9" si="3">+H8-G8+1</f>
        <v>19</v>
      </c>
      <c r="K8" s="331">
        <f t="shared" ref="K8:K9" si="4">J8-3</f>
        <v>16</v>
      </c>
      <c r="L8" s="332">
        <f t="shared" ref="L8:L9" si="5">I8/30</f>
        <v>118.40833333333333</v>
      </c>
      <c r="M8" s="345">
        <v>17</v>
      </c>
      <c r="N8" s="332">
        <f t="shared" ref="N8:N9" si="6">L8*M8</f>
        <v>2012.9416666666666</v>
      </c>
      <c r="O8" s="335">
        <f t="shared" si="0"/>
        <v>1509.70625</v>
      </c>
      <c r="P8" s="17"/>
    </row>
    <row r="9" spans="1:16" x14ac:dyDescent="0.25">
      <c r="A9" s="258">
        <v>2</v>
      </c>
      <c r="B9" s="329" t="s">
        <v>163</v>
      </c>
      <c r="C9" s="330"/>
      <c r="D9" s="330"/>
      <c r="E9" s="331">
        <f t="shared" si="1"/>
        <v>1</v>
      </c>
      <c r="F9" s="331">
        <f t="shared" si="2"/>
        <v>-2</v>
      </c>
      <c r="G9" s="330">
        <v>45666</v>
      </c>
      <c r="H9" s="330">
        <v>45675</v>
      </c>
      <c r="I9" s="332">
        <v>2875</v>
      </c>
      <c r="J9" s="333">
        <f t="shared" si="3"/>
        <v>10</v>
      </c>
      <c r="K9" s="331">
        <f t="shared" si="4"/>
        <v>7</v>
      </c>
      <c r="L9" s="332">
        <f t="shared" si="5"/>
        <v>95.833333333333329</v>
      </c>
      <c r="M9" s="345">
        <f>+K9</f>
        <v>7</v>
      </c>
      <c r="N9" s="332">
        <f t="shared" si="6"/>
        <v>670.83333333333326</v>
      </c>
      <c r="O9" s="335">
        <f t="shared" si="0"/>
        <v>503.12499999999994</v>
      </c>
      <c r="P9" s="17"/>
    </row>
    <row r="10" spans="1:16" ht="15.75" thickBot="1" x14ac:dyDescent="0.3">
      <c r="A10" s="258"/>
      <c r="B10" s="329"/>
      <c r="C10" s="330"/>
      <c r="D10" s="330"/>
      <c r="E10" s="331">
        <f t="shared" ref="E10" si="7">D10-C10+1</f>
        <v>1</v>
      </c>
      <c r="F10" s="331">
        <f t="shared" ref="F10" si="8">E10-3</f>
        <v>-2</v>
      </c>
      <c r="G10" s="330"/>
      <c r="H10" s="330"/>
      <c r="I10" s="332"/>
      <c r="J10" s="333">
        <f t="shared" ref="J10" si="9">+H10-G10+1</f>
        <v>1</v>
      </c>
      <c r="K10" s="331">
        <f t="shared" ref="K10" si="10">J10-3</f>
        <v>-2</v>
      </c>
      <c r="L10" s="332">
        <f t="shared" ref="L10" si="11">I10/30</f>
        <v>0</v>
      </c>
      <c r="M10" s="334"/>
      <c r="N10" s="332">
        <f t="shared" ref="N10" si="12">L10*M10</f>
        <v>0</v>
      </c>
      <c r="O10" s="335">
        <f t="shared" ref="O10" si="13">N10*0.75</f>
        <v>0</v>
      </c>
      <c r="P10" s="17"/>
    </row>
    <row r="11" spans="1:16" ht="15.75" thickBot="1" x14ac:dyDescent="0.3">
      <c r="A11" s="31"/>
      <c r="B11" s="239"/>
      <c r="C11" s="18"/>
      <c r="D11" s="18"/>
      <c r="E11" s="18"/>
      <c r="F11" s="18"/>
      <c r="G11" s="18"/>
      <c r="H11" s="18"/>
      <c r="I11" s="18"/>
      <c r="J11" s="18"/>
      <c r="K11" s="18"/>
      <c r="L11" s="31"/>
      <c r="M11" s="31"/>
      <c r="N11" s="31"/>
      <c r="O11" s="49">
        <f>SUM(O7:O10)</f>
        <v>2012.83125</v>
      </c>
      <c r="P11" s="31"/>
    </row>
    <row r="12" spans="1:16" x14ac:dyDescent="0.25">
      <c r="A12" s="31"/>
      <c r="B12" s="360"/>
      <c r="C12" s="476" t="s">
        <v>13</v>
      </c>
      <c r="D12" s="477"/>
      <c r="E12" s="477"/>
      <c r="F12" s="477"/>
      <c r="G12" s="477"/>
      <c r="H12" s="477"/>
      <c r="I12" s="477"/>
      <c r="J12" s="477"/>
      <c r="K12" s="477"/>
      <c r="L12" s="477"/>
      <c r="M12" s="477"/>
      <c r="N12" s="478"/>
      <c r="O12" s="170"/>
      <c r="P12" s="169"/>
    </row>
    <row r="13" spans="1:16" ht="15.75" thickBot="1" x14ac:dyDescent="0.3">
      <c r="A13" s="31"/>
      <c r="B13" s="360"/>
      <c r="C13" s="479"/>
      <c r="D13" s="480"/>
      <c r="E13" s="480"/>
      <c r="F13" s="480"/>
      <c r="G13" s="480"/>
      <c r="H13" s="480"/>
      <c r="I13" s="480"/>
      <c r="J13" s="480"/>
      <c r="K13" s="480"/>
      <c r="L13" s="480"/>
      <c r="M13" s="480"/>
      <c r="N13" s="481"/>
      <c r="O13" s="171"/>
      <c r="P13" s="19"/>
    </row>
    <row r="14" spans="1:16" ht="27" customHeight="1" thickBot="1" x14ac:dyDescent="0.3">
      <c r="A14" s="472" t="s">
        <v>6</v>
      </c>
      <c r="B14" s="614" t="s">
        <v>8</v>
      </c>
      <c r="C14" s="460" t="s">
        <v>14</v>
      </c>
      <c r="D14" s="461"/>
      <c r="E14" s="450" t="s">
        <v>7</v>
      </c>
      <c r="F14" s="394"/>
      <c r="G14" s="600" t="s">
        <v>12</v>
      </c>
      <c r="H14" s="601"/>
      <c r="I14" s="450" t="s">
        <v>2</v>
      </c>
      <c r="J14" s="392"/>
      <c r="K14" s="392"/>
      <c r="L14" s="450" t="s">
        <v>3</v>
      </c>
      <c r="M14" s="450" t="s">
        <v>4</v>
      </c>
      <c r="N14" s="450" t="s">
        <v>5</v>
      </c>
      <c r="O14" s="450" t="s">
        <v>10</v>
      </c>
      <c r="P14" s="472" t="s">
        <v>11</v>
      </c>
    </row>
    <row r="15" spans="1:16" ht="15.75" thickBot="1" x14ac:dyDescent="0.3">
      <c r="A15" s="473"/>
      <c r="B15" s="615"/>
      <c r="C15" s="5" t="s">
        <v>0</v>
      </c>
      <c r="D15" s="396" t="s">
        <v>1</v>
      </c>
      <c r="E15" s="451"/>
      <c r="F15" s="393"/>
      <c r="G15" s="396" t="s">
        <v>0</v>
      </c>
      <c r="H15" s="395" t="s">
        <v>1</v>
      </c>
      <c r="I15" s="597"/>
      <c r="J15" s="393"/>
      <c r="K15" s="393"/>
      <c r="L15" s="451"/>
      <c r="M15" s="451"/>
      <c r="N15" s="451"/>
      <c r="O15" s="451"/>
      <c r="P15" s="473"/>
    </row>
    <row r="16" spans="1:16" x14ac:dyDescent="0.25">
      <c r="A16" s="50"/>
      <c r="B16" s="352"/>
      <c r="C16" s="8"/>
      <c r="D16" s="8"/>
      <c r="E16" s="9">
        <f>D16-C16+1</f>
        <v>1</v>
      </c>
      <c r="F16" s="9"/>
      <c r="G16" s="203"/>
      <c r="H16" s="13"/>
      <c r="I16" s="14">
        <v>0</v>
      </c>
      <c r="J16" s="10"/>
      <c r="K16" s="10"/>
      <c r="L16" s="10">
        <f>I16/30</f>
        <v>0</v>
      </c>
      <c r="M16" s="9"/>
      <c r="N16" s="10">
        <f>L16*M16</f>
        <v>0</v>
      </c>
      <c r="O16" s="10">
        <f>N16*0.9</f>
        <v>0</v>
      </c>
      <c r="P16" s="30"/>
    </row>
    <row r="17" spans="1:16" x14ac:dyDescent="0.25">
      <c r="A17" s="50">
        <v>1</v>
      </c>
      <c r="B17" s="258" t="s">
        <v>120</v>
      </c>
      <c r="C17" s="336">
        <v>45624</v>
      </c>
      <c r="D17" s="336">
        <v>45713</v>
      </c>
      <c r="E17" s="331">
        <f>D17-C17+1</f>
        <v>90</v>
      </c>
      <c r="F17" s="331">
        <f>H17-G17+1</f>
        <v>30</v>
      </c>
      <c r="G17" s="337">
        <v>45658</v>
      </c>
      <c r="H17" s="330">
        <v>45687</v>
      </c>
      <c r="I17" s="338">
        <v>5745.91</v>
      </c>
      <c r="J17" s="333">
        <f>+H17-G17+1</f>
        <v>30</v>
      </c>
      <c r="K17" s="333"/>
      <c r="L17" s="339">
        <f>I17/30</f>
        <v>191.53033333333332</v>
      </c>
      <c r="M17" s="333">
        <f>+J17</f>
        <v>30</v>
      </c>
      <c r="N17" s="339">
        <f>L17*M17</f>
        <v>5745.91</v>
      </c>
      <c r="O17" s="339">
        <f>N17*0.9</f>
        <v>5171.3190000000004</v>
      </c>
      <c r="P17" s="30"/>
    </row>
    <row r="18" spans="1:16" ht="15.75" thickBot="1" x14ac:dyDescent="0.3">
      <c r="A18" s="50"/>
      <c r="B18" s="258"/>
      <c r="C18" s="336"/>
      <c r="D18" s="336"/>
      <c r="E18" s="331">
        <f>D18-C18+1</f>
        <v>1</v>
      </c>
      <c r="F18" s="331">
        <f>H18-G18+1</f>
        <v>1</v>
      </c>
      <c r="G18" s="337"/>
      <c r="H18" s="330"/>
      <c r="I18" s="338"/>
      <c r="J18" s="333">
        <f>+H18-G18+1</f>
        <v>1</v>
      </c>
      <c r="K18" s="333"/>
      <c r="L18" s="339">
        <f>I18/30</f>
        <v>0</v>
      </c>
      <c r="M18" s="333"/>
      <c r="N18" s="339">
        <f>L18*M18</f>
        <v>0</v>
      </c>
      <c r="O18" s="339">
        <f>N18*0.9</f>
        <v>0</v>
      </c>
      <c r="P18" s="30"/>
    </row>
    <row r="19" spans="1:16" ht="15.75" thickBot="1" x14ac:dyDescent="0.3">
      <c r="A19" s="31"/>
      <c r="B19" s="18"/>
      <c r="C19" s="18"/>
      <c r="D19" s="18"/>
      <c r="E19" s="18"/>
      <c r="F19" s="18"/>
      <c r="G19" s="18"/>
      <c r="H19" s="15"/>
      <c r="I19" s="15"/>
      <c r="J19" s="18"/>
      <c r="K19" s="18"/>
      <c r="L19" s="31"/>
      <c r="M19" s="31"/>
      <c r="N19" s="31"/>
      <c r="O19" s="49">
        <f>SUM(O16:O18)</f>
        <v>5171.3190000000004</v>
      </c>
      <c r="P19" s="31"/>
    </row>
    <row r="20" spans="1:16" x14ac:dyDescent="0.25">
      <c r="A20" s="31"/>
      <c r="B20" s="31"/>
      <c r="C20" s="476" t="s">
        <v>25</v>
      </c>
      <c r="D20" s="477"/>
      <c r="E20" s="477"/>
      <c r="F20" s="477"/>
      <c r="G20" s="477"/>
      <c r="H20" s="606"/>
      <c r="I20" s="606"/>
      <c r="J20" s="477"/>
      <c r="K20" s="477"/>
      <c r="L20" s="477"/>
      <c r="M20" s="477"/>
      <c r="N20" s="478"/>
      <c r="O20" s="31"/>
      <c r="P20" s="31"/>
    </row>
    <row r="21" spans="1:16" ht="15.75" thickBot="1" x14ac:dyDescent="0.3">
      <c r="A21" s="31"/>
      <c r="B21" s="31"/>
      <c r="C21" s="479"/>
      <c r="D21" s="480"/>
      <c r="E21" s="480"/>
      <c r="F21" s="480"/>
      <c r="G21" s="480"/>
      <c r="H21" s="606"/>
      <c r="I21" s="606"/>
      <c r="J21" s="480"/>
      <c r="K21" s="480"/>
      <c r="L21" s="480"/>
      <c r="M21" s="480"/>
      <c r="N21" s="481"/>
      <c r="O21" s="31"/>
      <c r="P21" s="19"/>
    </row>
    <row r="22" spans="1:16" ht="24.75" customHeight="1" thickBot="1" x14ac:dyDescent="0.3">
      <c r="A22" s="472" t="s">
        <v>6</v>
      </c>
      <c r="B22" s="472" t="s">
        <v>8</v>
      </c>
      <c r="C22" s="460" t="s">
        <v>14</v>
      </c>
      <c r="D22" s="461"/>
      <c r="E22" s="450" t="s">
        <v>7</v>
      </c>
      <c r="F22" s="394"/>
      <c r="G22" s="600" t="s">
        <v>12</v>
      </c>
      <c r="H22" s="608"/>
      <c r="I22" s="609" t="s">
        <v>2</v>
      </c>
      <c r="J22" s="392"/>
      <c r="K22" s="392"/>
      <c r="L22" s="450" t="s">
        <v>3</v>
      </c>
      <c r="M22" s="450" t="s">
        <v>4</v>
      </c>
      <c r="N22" s="450" t="s">
        <v>5</v>
      </c>
      <c r="O22" s="450" t="s">
        <v>10</v>
      </c>
      <c r="P22" s="472" t="s">
        <v>11</v>
      </c>
    </row>
    <row r="23" spans="1:16" ht="15.75" thickBot="1" x14ac:dyDescent="0.3">
      <c r="A23" s="473"/>
      <c r="B23" s="473"/>
      <c r="C23" s="5" t="s">
        <v>0</v>
      </c>
      <c r="D23" s="396" t="s">
        <v>1</v>
      </c>
      <c r="E23" s="451"/>
      <c r="F23" s="393"/>
      <c r="G23" s="5" t="s">
        <v>0</v>
      </c>
      <c r="H23" s="5" t="s">
        <v>1</v>
      </c>
      <c r="I23" s="451"/>
      <c r="J23" s="393"/>
      <c r="K23" s="393"/>
      <c r="L23" s="451"/>
      <c r="M23" s="451"/>
      <c r="N23" s="451"/>
      <c r="O23" s="451"/>
      <c r="P23" s="473"/>
    </row>
    <row r="24" spans="1:16" x14ac:dyDescent="0.25">
      <c r="A24" s="50"/>
      <c r="B24" s="30"/>
      <c r="C24" s="8">
        <v>0</v>
      </c>
      <c r="D24" s="8">
        <v>0</v>
      </c>
      <c r="E24" s="9">
        <f>D24-C24+1</f>
        <v>1</v>
      </c>
      <c r="F24" s="9"/>
      <c r="G24" s="8"/>
      <c r="H24" s="8"/>
      <c r="I24" s="10">
        <v>0</v>
      </c>
      <c r="J24" s="10"/>
      <c r="K24" s="10"/>
      <c r="L24" s="10">
        <f>I24/30</f>
        <v>0</v>
      </c>
      <c r="M24" s="9">
        <v>0</v>
      </c>
      <c r="N24" s="10">
        <f>L24*M24</f>
        <v>0</v>
      </c>
      <c r="O24" s="10">
        <f>N24*0.9</f>
        <v>0</v>
      </c>
      <c r="P24" s="30"/>
    </row>
    <row r="25" spans="1:16" x14ac:dyDescent="0.25">
      <c r="A25" s="50"/>
      <c r="B25" s="30"/>
      <c r="C25" s="8"/>
      <c r="D25" s="8"/>
      <c r="E25" s="9">
        <f>D25-C25+1</f>
        <v>1</v>
      </c>
      <c r="F25" s="9"/>
      <c r="G25" s="8"/>
      <c r="H25" s="8"/>
      <c r="I25" s="10">
        <v>0</v>
      </c>
      <c r="J25" s="10"/>
      <c r="K25" s="10"/>
      <c r="L25" s="10">
        <f>I25/30</f>
        <v>0</v>
      </c>
      <c r="M25" s="9">
        <v>0</v>
      </c>
      <c r="N25" s="10">
        <f>L25*M25</f>
        <v>0</v>
      </c>
      <c r="O25" s="10">
        <f>N25*0.9</f>
        <v>0</v>
      </c>
      <c r="P25" s="30"/>
    </row>
    <row r="26" spans="1:16" ht="15.75" thickBot="1" x14ac:dyDescent="0.3">
      <c r="A26" s="50"/>
      <c r="B26" s="30"/>
      <c r="C26" s="8"/>
      <c r="D26" s="8"/>
      <c r="E26" s="9">
        <f>D26-C26+1</f>
        <v>1</v>
      </c>
      <c r="F26" s="9"/>
      <c r="G26" s="8"/>
      <c r="H26" s="8"/>
      <c r="I26" s="10">
        <v>0</v>
      </c>
      <c r="J26" s="10"/>
      <c r="K26" s="10"/>
      <c r="L26" s="10">
        <f>I26/30</f>
        <v>0</v>
      </c>
      <c r="M26" s="9">
        <v>0</v>
      </c>
      <c r="N26" s="10">
        <f>L26*M26</f>
        <v>0</v>
      </c>
      <c r="O26" s="10">
        <f>N26*0.9</f>
        <v>0</v>
      </c>
      <c r="P26" s="30"/>
    </row>
    <row r="27" spans="1:16" ht="15.75" thickBot="1" x14ac:dyDescent="0.3">
      <c r="A27" s="3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31"/>
      <c r="M27" s="31"/>
      <c r="N27" s="31"/>
      <c r="O27" s="49">
        <f>SUM(O24:O26)</f>
        <v>0</v>
      </c>
      <c r="P27" s="31"/>
    </row>
    <row r="28" spans="1:16" ht="15.75" thickBot="1" x14ac:dyDescent="0.3"/>
    <row r="29" spans="1:16" ht="16.5" thickBot="1" x14ac:dyDescent="0.3">
      <c r="L29" s="447" t="s">
        <v>26</v>
      </c>
      <c r="M29" s="448"/>
      <c r="N29" s="449"/>
      <c r="O29" s="180">
        <f>O11+O19+O27</f>
        <v>7184.1502500000006</v>
      </c>
    </row>
  </sheetData>
  <mergeCells count="43">
    <mergeCell ref="A1:B1"/>
    <mergeCell ref="A2:B2"/>
    <mergeCell ref="A3:P3"/>
    <mergeCell ref="A14:A15"/>
    <mergeCell ref="B14:B15"/>
    <mergeCell ref="C14:D14"/>
    <mergeCell ref="E14:E15"/>
    <mergeCell ref="G14:H14"/>
    <mergeCell ref="O14:O15"/>
    <mergeCell ref="P14:P15"/>
    <mergeCell ref="M5:M6"/>
    <mergeCell ref="N5:N6"/>
    <mergeCell ref="O5:O6"/>
    <mergeCell ref="P5:P6"/>
    <mergeCell ref="C12:N13"/>
    <mergeCell ref="I14:I15"/>
    <mergeCell ref="L14:L15"/>
    <mergeCell ref="M14:M15"/>
    <mergeCell ref="O22:O23"/>
    <mergeCell ref="P22:P23"/>
    <mergeCell ref="C4:N4"/>
    <mergeCell ref="G5:H5"/>
    <mergeCell ref="I5:I6"/>
    <mergeCell ref="L5:L6"/>
    <mergeCell ref="N14:N15"/>
    <mergeCell ref="J5:J6"/>
    <mergeCell ref="K5:K6"/>
    <mergeCell ref="A5:A6"/>
    <mergeCell ref="B5:B6"/>
    <mergeCell ref="C5:D5"/>
    <mergeCell ref="E5:E6"/>
    <mergeCell ref="F5:F6"/>
    <mergeCell ref="L29:N29"/>
    <mergeCell ref="C20:N21"/>
    <mergeCell ref="A22:A23"/>
    <mergeCell ref="B22:B23"/>
    <mergeCell ref="C22:D22"/>
    <mergeCell ref="E22:E23"/>
    <mergeCell ref="G22:H22"/>
    <mergeCell ref="I22:I23"/>
    <mergeCell ref="L22:L23"/>
    <mergeCell ref="M22:M23"/>
    <mergeCell ref="N22:N23"/>
  </mergeCells>
  <pageMargins left="0.51181102362204722" right="0.11811023622047245" top="0.6692913385826772" bottom="0.55118110236220474" header="0.31496062992125984" footer="0.31496062992125984"/>
  <pageSetup scale="7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7"/>
  <sheetViews>
    <sheetView zoomScale="120" zoomScaleNormal="120" workbookViewId="0">
      <selection activeCell="L8" sqref="L8"/>
    </sheetView>
  </sheetViews>
  <sheetFormatPr baseColWidth="10" defaultColWidth="11.42578125" defaultRowHeight="15" x14ac:dyDescent="0.25"/>
  <cols>
    <col min="1" max="1" width="3.5703125" customWidth="1"/>
    <col min="2" max="2" width="21.7109375" bestFit="1" customWidth="1"/>
    <col min="3" max="4" width="12.7109375" customWidth="1"/>
    <col min="5" max="5" width="4.85546875" customWidth="1"/>
    <col min="6" max="7" width="8.7109375" customWidth="1"/>
    <col min="8" max="8" width="4.85546875" customWidth="1"/>
    <col min="9" max="9" width="4.5703125" customWidth="1"/>
    <col min="10" max="10" width="9.5703125" customWidth="1"/>
    <col min="11" max="12" width="8.85546875" customWidth="1"/>
    <col min="15" max="15" width="17.28515625" bestFit="1" customWidth="1"/>
  </cols>
  <sheetData>
    <row r="1" spans="1:15" x14ac:dyDescent="0.25">
      <c r="A1" t="s">
        <v>46</v>
      </c>
      <c r="M1" t="s">
        <v>68</v>
      </c>
      <c r="O1" t="s">
        <v>117</v>
      </c>
    </row>
    <row r="2" spans="1:15" x14ac:dyDescent="0.25">
      <c r="B2" t="s">
        <v>47</v>
      </c>
    </row>
    <row r="3" spans="1:15" ht="36" thickBot="1" x14ac:dyDescent="0.55000000000000004">
      <c r="A3" s="590" t="s">
        <v>116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</row>
    <row r="4" spans="1:15" ht="24.75" customHeight="1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3"/>
      <c r="N4" s="4"/>
      <c r="O4" s="4"/>
    </row>
    <row r="5" spans="1:15" ht="27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/>
      <c r="F5" s="594" t="s">
        <v>14</v>
      </c>
      <c r="G5" s="595"/>
      <c r="H5" s="464" t="s">
        <v>7</v>
      </c>
      <c r="I5" s="450" t="s">
        <v>35</v>
      </c>
      <c r="J5" s="592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5" t="s">
        <v>1</v>
      </c>
      <c r="H6" s="465"/>
      <c r="I6" s="451"/>
      <c r="J6" s="593"/>
      <c r="K6" s="465"/>
      <c r="L6" s="465"/>
      <c r="M6" s="465"/>
      <c r="N6" s="499"/>
      <c r="O6" s="483"/>
    </row>
    <row r="7" spans="1:15" x14ac:dyDescent="0.25">
      <c r="A7" s="6"/>
      <c r="B7" s="30"/>
      <c r="C7" s="56">
        <v>0</v>
      </c>
      <c r="D7" s="56">
        <v>0</v>
      </c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6" t="s">
        <v>119</v>
      </c>
      <c r="C8" s="56">
        <v>45607</v>
      </c>
      <c r="D8" s="56">
        <v>45642</v>
      </c>
      <c r="E8" s="121">
        <f>+D8-C8+1</f>
        <v>36</v>
      </c>
      <c r="F8" s="8">
        <v>45627</v>
      </c>
      <c r="G8" s="8">
        <v>45642</v>
      </c>
      <c r="H8" s="9">
        <f>G8-F8+1</f>
        <v>16</v>
      </c>
      <c r="I8" s="9">
        <f>H8-3</f>
        <v>13</v>
      </c>
      <c r="J8" s="10">
        <v>10753.2</v>
      </c>
      <c r="K8" s="10">
        <f>J8/30</f>
        <v>358.44</v>
      </c>
      <c r="L8" s="9"/>
      <c r="M8" s="10">
        <f>K8*L8</f>
        <v>0</v>
      </c>
      <c r="N8" s="10">
        <f>M8*0.75</f>
        <v>0</v>
      </c>
      <c r="O8" s="11"/>
    </row>
    <row r="9" spans="1:15" ht="15.75" thickBot="1" x14ac:dyDescent="0.3">
      <c r="A9" s="6"/>
      <c r="B9" s="7"/>
      <c r="C9" s="56"/>
      <c r="D9" s="56"/>
      <c r="E9" s="55"/>
      <c r="F9" s="8"/>
      <c r="G9" s="8"/>
      <c r="H9" s="9">
        <f>G9-F9+1</f>
        <v>1</v>
      </c>
      <c r="I9" s="9">
        <f>H9-3</f>
        <v>-2</v>
      </c>
      <c r="J9" s="10"/>
      <c r="K9" s="10">
        <f>J9/30</f>
        <v>0</v>
      </c>
      <c r="L9" s="9"/>
      <c r="M9" s="10">
        <f>K9*L9</f>
        <v>0</v>
      </c>
      <c r="N9" s="10">
        <f>M9*0.75</f>
        <v>0</v>
      </c>
      <c r="O9" s="11"/>
    </row>
    <row r="10" spans="1:15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0</v>
      </c>
      <c r="O10" s="4"/>
    </row>
    <row r="11" spans="1:15" ht="15" customHeight="1" x14ac:dyDescent="0.25">
      <c r="A11" s="4"/>
      <c r="B11" s="4"/>
      <c r="C11" s="541" t="s">
        <v>13</v>
      </c>
      <c r="D11" s="542"/>
      <c r="E11" s="542"/>
      <c r="F11" s="542"/>
      <c r="G11" s="542"/>
      <c r="H11" s="542"/>
      <c r="I11" s="542"/>
      <c r="J11" s="542"/>
      <c r="K11" s="542"/>
      <c r="L11" s="542"/>
      <c r="M11" s="543"/>
      <c r="N11" s="4"/>
      <c r="O11" s="4"/>
    </row>
    <row r="12" spans="1:15" ht="15.75" customHeight="1" thickBot="1" x14ac:dyDescent="0.3">
      <c r="A12" s="4"/>
      <c r="B12" s="4"/>
      <c r="C12" s="544"/>
      <c r="D12" s="545"/>
      <c r="E12" s="545"/>
      <c r="F12" s="545"/>
      <c r="G12" s="545"/>
      <c r="H12" s="545"/>
      <c r="I12" s="545"/>
      <c r="J12" s="545"/>
      <c r="K12" s="545"/>
      <c r="L12" s="545"/>
      <c r="M12" s="546"/>
      <c r="N12" s="4"/>
      <c r="O12" s="19"/>
    </row>
    <row r="13" spans="1:15" ht="27" customHeight="1" thickBot="1" x14ac:dyDescent="0.3">
      <c r="A13" s="472" t="s">
        <v>6</v>
      </c>
      <c r="B13" s="472" t="s">
        <v>8</v>
      </c>
      <c r="C13" s="458" t="s">
        <v>37</v>
      </c>
      <c r="D13" s="459"/>
      <c r="E13" s="537" t="s">
        <v>7</v>
      </c>
      <c r="F13" s="460" t="s">
        <v>14</v>
      </c>
      <c r="G13" s="461"/>
      <c r="H13" s="450" t="s">
        <v>7</v>
      </c>
      <c r="I13" s="20"/>
      <c r="J13" s="616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472" t="s">
        <v>11</v>
      </c>
    </row>
    <row r="14" spans="1:15" ht="15.75" thickBot="1" x14ac:dyDescent="0.3">
      <c r="A14" s="473"/>
      <c r="B14" s="473"/>
      <c r="C14" s="54" t="s">
        <v>38</v>
      </c>
      <c r="D14" s="54" t="s">
        <v>39</v>
      </c>
      <c r="E14" s="538"/>
      <c r="F14" s="5" t="s">
        <v>0</v>
      </c>
      <c r="G14" s="25" t="s">
        <v>1</v>
      </c>
      <c r="H14" s="451"/>
      <c r="I14" s="24"/>
      <c r="J14" s="617"/>
      <c r="K14" s="451"/>
      <c r="L14" s="451"/>
      <c r="M14" s="451"/>
      <c r="N14" s="451"/>
      <c r="O14" s="473"/>
    </row>
    <row r="15" spans="1:15" x14ac:dyDescent="0.25">
      <c r="A15" s="21"/>
      <c r="B15" s="7"/>
      <c r="C15" s="56">
        <v>0</v>
      </c>
      <c r="D15" s="56">
        <v>0</v>
      </c>
      <c r="E15" s="66">
        <f>D15-C15+1</f>
        <v>1</v>
      </c>
      <c r="F15" s="8">
        <v>0</v>
      </c>
      <c r="G15" s="8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11"/>
    </row>
    <row r="16" spans="1:15" x14ac:dyDescent="0.25">
      <c r="A16" s="6">
        <v>1</v>
      </c>
      <c r="B16" s="6"/>
      <c r="C16" s="56"/>
      <c r="D16" s="56"/>
      <c r="E16" s="66">
        <f>D16-C16+1</f>
        <v>1</v>
      </c>
      <c r="F16" s="8"/>
      <c r="G16" s="8"/>
      <c r="H16" s="9">
        <f>G16-F16+1</f>
        <v>1</v>
      </c>
      <c r="I16" s="9"/>
      <c r="J16" s="10">
        <v>0</v>
      </c>
      <c r="K16" s="10">
        <f>J16/30</f>
        <v>0</v>
      </c>
      <c r="L16" s="9"/>
      <c r="M16" s="10">
        <f>K16*L16</f>
        <v>0</v>
      </c>
      <c r="N16" s="10">
        <f>M16*0.9</f>
        <v>0</v>
      </c>
      <c r="O16" s="11"/>
    </row>
    <row r="17" spans="1:15" ht="15.75" thickBot="1" x14ac:dyDescent="0.3">
      <c r="A17" s="21"/>
      <c r="B17" s="7"/>
      <c r="C17" s="56">
        <v>0</v>
      </c>
      <c r="D17" s="56">
        <v>0</v>
      </c>
      <c r="E17" s="66">
        <f>D17-C17+1</f>
        <v>1</v>
      </c>
      <c r="F17" s="8"/>
      <c r="G17" s="8"/>
      <c r="H17" s="9">
        <f>G17-F17+1</f>
        <v>1</v>
      </c>
      <c r="I17" s="9"/>
      <c r="J17" s="10">
        <v>0</v>
      </c>
      <c r="K17" s="10">
        <f>J17/30</f>
        <v>0</v>
      </c>
      <c r="L17" s="9">
        <v>0</v>
      </c>
      <c r="M17" s="10">
        <f>K17*L17</f>
        <v>0</v>
      </c>
      <c r="N17" s="10">
        <f>M17*0.9</f>
        <v>0</v>
      </c>
      <c r="O17" s="11"/>
    </row>
    <row r="18" spans="1:15" ht="15.75" thickBot="1" x14ac:dyDescent="0.3">
      <c r="A18" s="4"/>
      <c r="B18" s="18"/>
      <c r="C18" s="18"/>
      <c r="D18" s="18"/>
      <c r="E18" s="18"/>
      <c r="F18" s="18"/>
      <c r="G18" s="18"/>
      <c r="H18" s="18"/>
      <c r="I18" s="18"/>
      <c r="J18" s="18"/>
      <c r="K18" s="4"/>
      <c r="L18" s="4"/>
      <c r="M18" s="4"/>
      <c r="N18" s="27">
        <f>SUM(N15:N17)</f>
        <v>0</v>
      </c>
      <c r="O18" s="4"/>
    </row>
    <row r="19" spans="1:15" ht="15" customHeight="1" x14ac:dyDescent="0.25">
      <c r="A19" s="4"/>
      <c r="B19" s="4"/>
      <c r="C19" s="541" t="s">
        <v>25</v>
      </c>
      <c r="D19" s="542"/>
      <c r="E19" s="542"/>
      <c r="F19" s="542"/>
      <c r="G19" s="542"/>
      <c r="H19" s="542"/>
      <c r="I19" s="542"/>
      <c r="J19" s="542"/>
      <c r="K19" s="542"/>
      <c r="L19" s="542"/>
      <c r="M19" s="543"/>
      <c r="N19" s="4"/>
      <c r="O19" s="4"/>
    </row>
    <row r="20" spans="1:15" ht="15.75" customHeight="1" thickBot="1" x14ac:dyDescent="0.3">
      <c r="A20" s="4"/>
      <c r="B20" s="4"/>
      <c r="C20" s="544"/>
      <c r="D20" s="545"/>
      <c r="E20" s="545"/>
      <c r="F20" s="545"/>
      <c r="G20" s="545"/>
      <c r="H20" s="599"/>
      <c r="I20" s="599"/>
      <c r="J20" s="545"/>
      <c r="K20" s="545"/>
      <c r="L20" s="545"/>
      <c r="M20" s="546"/>
      <c r="N20" s="4"/>
      <c r="O20" s="19"/>
    </row>
    <row r="21" spans="1:15" ht="24.75" customHeight="1" thickBot="1" x14ac:dyDescent="0.3">
      <c r="A21" s="472" t="s">
        <v>6</v>
      </c>
      <c r="B21" s="472" t="s">
        <v>8</v>
      </c>
      <c r="C21" s="458" t="s">
        <v>37</v>
      </c>
      <c r="D21" s="459"/>
      <c r="E21" s="537"/>
      <c r="F21" s="460" t="s">
        <v>14</v>
      </c>
      <c r="G21" s="584"/>
      <c r="H21" s="597" t="s">
        <v>7</v>
      </c>
      <c r="I21" s="208"/>
      <c r="J21" s="450" t="s">
        <v>2</v>
      </c>
      <c r="K21" s="450" t="s">
        <v>3</v>
      </c>
      <c r="L21" s="450" t="s">
        <v>4</v>
      </c>
      <c r="M21" s="450" t="s">
        <v>5</v>
      </c>
      <c r="N21" s="450" t="s">
        <v>10</v>
      </c>
      <c r="O21" s="472" t="s">
        <v>11</v>
      </c>
    </row>
    <row r="22" spans="1:15" ht="15.75" thickBot="1" x14ac:dyDescent="0.3">
      <c r="A22" s="473"/>
      <c r="B22" s="473"/>
      <c r="C22" s="54" t="s">
        <v>38</v>
      </c>
      <c r="D22" s="54" t="s">
        <v>39</v>
      </c>
      <c r="E22" s="538"/>
      <c r="F22" s="5" t="s">
        <v>0</v>
      </c>
      <c r="G22" s="25" t="s">
        <v>1</v>
      </c>
      <c r="H22" s="597"/>
      <c r="I22" s="15"/>
      <c r="J22" s="451"/>
      <c r="K22" s="451"/>
      <c r="L22" s="451"/>
      <c r="M22" s="451"/>
      <c r="N22" s="451"/>
      <c r="O22" s="473"/>
    </row>
    <row r="23" spans="1:15" x14ac:dyDescent="0.25">
      <c r="A23" s="21"/>
      <c r="B23" s="7"/>
      <c r="C23" s="56"/>
      <c r="D23" s="56"/>
      <c r="E23" s="55"/>
      <c r="F23" s="8">
        <v>0</v>
      </c>
      <c r="G23" s="8">
        <v>0</v>
      </c>
      <c r="H23" s="15">
        <f>G23-F23+1</f>
        <v>1</v>
      </c>
      <c r="I23" s="15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11"/>
    </row>
    <row r="24" spans="1:15" ht="15.75" thickBot="1" x14ac:dyDescent="0.3">
      <c r="A24" s="21"/>
      <c r="B24" s="7"/>
      <c r="C24" s="7"/>
      <c r="D24" s="7"/>
      <c r="E24" s="7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ht="15.75" thickBot="1" x14ac:dyDescent="0.3">
      <c r="A25" s="4"/>
      <c r="B25" s="18"/>
      <c r="C25" s="18"/>
      <c r="D25" s="18"/>
      <c r="E25" s="18"/>
      <c r="F25" s="18"/>
      <c r="G25" s="18"/>
      <c r="H25" s="18"/>
      <c r="I25" s="18"/>
      <c r="J25" s="18"/>
      <c r="K25" s="4"/>
      <c r="L25" s="4"/>
      <c r="M25" s="4"/>
      <c r="N25" s="27">
        <f>SUM(N23:N24)</f>
        <v>0</v>
      </c>
      <c r="O25" s="46"/>
    </row>
    <row r="26" spans="1:15" ht="15.75" thickBot="1" x14ac:dyDescent="0.3"/>
    <row r="27" spans="1:15" ht="15.75" thickBot="1" x14ac:dyDescent="0.3">
      <c r="K27" s="547" t="s">
        <v>26</v>
      </c>
      <c r="L27" s="548"/>
      <c r="M27" s="549"/>
      <c r="N27" s="172">
        <f>N10+N18+N25</f>
        <v>0</v>
      </c>
    </row>
  </sheetData>
  <mergeCells count="42">
    <mergeCell ref="M21:M22"/>
    <mergeCell ref="N21:N22"/>
    <mergeCell ref="O21:O22"/>
    <mergeCell ref="K27:M27"/>
    <mergeCell ref="C19:M20"/>
    <mergeCell ref="H21:H22"/>
    <mergeCell ref="J21:J22"/>
    <mergeCell ref="K21:K22"/>
    <mergeCell ref="L21:L22"/>
    <mergeCell ref="A21:A22"/>
    <mergeCell ref="B21:B22"/>
    <mergeCell ref="C21:D21"/>
    <mergeCell ref="E21:E22"/>
    <mergeCell ref="F21:G21"/>
    <mergeCell ref="O13:O14"/>
    <mergeCell ref="A13:A14"/>
    <mergeCell ref="B13:B14"/>
    <mergeCell ref="C13:D13"/>
    <mergeCell ref="E13:E14"/>
    <mergeCell ref="F13:G13"/>
    <mergeCell ref="H13:H14"/>
    <mergeCell ref="J13:J14"/>
    <mergeCell ref="K13:K14"/>
    <mergeCell ref="L13:L14"/>
    <mergeCell ref="M13:M14"/>
    <mergeCell ref="N13:N14"/>
    <mergeCell ref="C11:M12"/>
    <mergeCell ref="A3:O3"/>
    <mergeCell ref="C4:M4"/>
    <mergeCell ref="A5:A6"/>
    <mergeCell ref="B5:B6"/>
    <mergeCell ref="C5:D5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O5:O6"/>
  </mergeCells>
  <pageMargins left="0.9055118110236221" right="0.51181102362204722" top="0.74803149606299213" bottom="0.74803149606299213" header="0.31496062992125984" footer="0.31496062992125984"/>
  <pageSetup scale="7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8"/>
  <sheetViews>
    <sheetView zoomScale="110" zoomScaleNormal="110" workbookViewId="0">
      <selection activeCell="L8" sqref="L8"/>
    </sheetView>
  </sheetViews>
  <sheetFormatPr baseColWidth="10" defaultColWidth="11.42578125" defaultRowHeight="15" x14ac:dyDescent="0.25"/>
  <cols>
    <col min="1" max="1" width="3.5703125" customWidth="1"/>
    <col min="2" max="2" width="39.28515625" bestFit="1" customWidth="1"/>
    <col min="3" max="4" width="9.5703125" bestFit="1" customWidth="1"/>
    <col min="5" max="5" width="4.85546875" customWidth="1"/>
    <col min="6" max="7" width="8.7109375" customWidth="1"/>
    <col min="8" max="8" width="4.85546875" customWidth="1"/>
    <col min="9" max="9" width="4.5703125" customWidth="1"/>
    <col min="10" max="10" width="10.42578125" customWidth="1"/>
    <col min="11" max="12" width="8.85546875" customWidth="1"/>
    <col min="13" max="13" width="13.85546875" bestFit="1" customWidth="1"/>
    <col min="15" max="15" width="17.28515625" bestFit="1" customWidth="1"/>
  </cols>
  <sheetData>
    <row r="1" spans="1:15" x14ac:dyDescent="0.25">
      <c r="A1" s="94" t="s">
        <v>46</v>
      </c>
      <c r="B1" s="90"/>
      <c r="M1" t="s">
        <v>63</v>
      </c>
      <c r="O1" t="s">
        <v>89</v>
      </c>
    </row>
    <row r="2" spans="1:15" x14ac:dyDescent="0.25">
      <c r="A2" s="237"/>
      <c r="B2" s="90" t="s">
        <v>47</v>
      </c>
    </row>
    <row r="3" spans="1:15" ht="36" thickBot="1" x14ac:dyDescent="0.55000000000000004">
      <c r="A3" s="590" t="s">
        <v>88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</row>
    <row r="4" spans="1:15" ht="24.75" customHeight="1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3"/>
      <c r="N4" s="4"/>
      <c r="O4" s="4"/>
    </row>
    <row r="5" spans="1:15" ht="27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/>
      <c r="F5" s="594" t="s">
        <v>14</v>
      </c>
      <c r="G5" s="595"/>
      <c r="H5" s="464" t="s">
        <v>7</v>
      </c>
      <c r="I5" s="450" t="s">
        <v>35</v>
      </c>
      <c r="J5" s="592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5" t="s">
        <v>1</v>
      </c>
      <c r="H6" s="465"/>
      <c r="I6" s="451"/>
      <c r="J6" s="593"/>
      <c r="K6" s="465"/>
      <c r="L6" s="465"/>
      <c r="M6" s="465"/>
      <c r="N6" s="499"/>
      <c r="O6" s="483"/>
    </row>
    <row r="7" spans="1:15" x14ac:dyDescent="0.25">
      <c r="A7" s="6"/>
      <c r="B7" s="30"/>
      <c r="C7" s="56">
        <v>0</v>
      </c>
      <c r="D7" s="56">
        <v>0</v>
      </c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130" t="s">
        <v>132</v>
      </c>
      <c r="C8" s="56"/>
      <c r="D8" s="56"/>
      <c r="E8" s="121">
        <f t="shared" ref="E8" si="0">+D8-C8+1</f>
        <v>1</v>
      </c>
      <c r="F8" s="8">
        <v>45640</v>
      </c>
      <c r="G8" s="8">
        <v>45646</v>
      </c>
      <c r="H8" s="9">
        <f t="shared" ref="H8" si="1">G8-F8+1</f>
        <v>7</v>
      </c>
      <c r="I8" s="9">
        <f t="shared" ref="I8" si="2">H8-3</f>
        <v>4</v>
      </c>
      <c r="J8" s="10">
        <v>2884.62</v>
      </c>
      <c r="K8" s="10">
        <f t="shared" ref="K8" si="3">J8/30</f>
        <v>96.153999999999996</v>
      </c>
      <c r="L8" s="9"/>
      <c r="M8" s="10">
        <f t="shared" ref="M8" si="4">K8*L8</f>
        <v>0</v>
      </c>
      <c r="N8" s="10">
        <f t="shared" ref="N8" si="5">M8*0.75</f>
        <v>0</v>
      </c>
      <c r="O8" s="11"/>
    </row>
    <row r="9" spans="1:15" ht="15.75" thickBot="1" x14ac:dyDescent="0.3">
      <c r="A9" s="6">
        <v>2</v>
      </c>
      <c r="B9" s="130"/>
      <c r="C9" s="56"/>
      <c r="D9" s="56"/>
      <c r="E9" s="121">
        <f t="shared" ref="E9" si="6">+D9-C9+1</f>
        <v>1</v>
      </c>
      <c r="F9" s="8"/>
      <c r="G9" s="8"/>
      <c r="H9" s="9">
        <f t="shared" ref="H9" si="7">G9-F9+1</f>
        <v>1</v>
      </c>
      <c r="I9" s="9">
        <f t="shared" ref="I9" si="8">H9-3</f>
        <v>-2</v>
      </c>
      <c r="J9" s="10"/>
      <c r="K9" s="10">
        <f t="shared" ref="K9" si="9">J9/30</f>
        <v>0</v>
      </c>
      <c r="L9" s="9"/>
      <c r="M9" s="10">
        <f t="shared" ref="M9" si="10">K9*L9</f>
        <v>0</v>
      </c>
      <c r="N9" s="10">
        <f t="shared" ref="N9" si="11">M9*0.75</f>
        <v>0</v>
      </c>
      <c r="O9" s="11"/>
    </row>
    <row r="10" spans="1:15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0</v>
      </c>
      <c r="O10" s="4"/>
    </row>
    <row r="11" spans="1:15" ht="15" customHeight="1" x14ac:dyDescent="0.25">
      <c r="A11" s="4"/>
      <c r="B11" s="4"/>
      <c r="C11" s="541" t="s">
        <v>13</v>
      </c>
      <c r="D11" s="542"/>
      <c r="E11" s="542"/>
      <c r="F11" s="542"/>
      <c r="G11" s="542"/>
      <c r="H11" s="542"/>
      <c r="I11" s="542"/>
      <c r="J11" s="542"/>
      <c r="K11" s="542"/>
      <c r="L11" s="542"/>
      <c r="M11" s="543"/>
      <c r="N11" s="4"/>
      <c r="O11" s="4"/>
    </row>
    <row r="12" spans="1:15" ht="15.75" customHeight="1" thickBot="1" x14ac:dyDescent="0.3">
      <c r="A12" s="4"/>
      <c r="B12" s="4"/>
      <c r="C12" s="544"/>
      <c r="D12" s="545"/>
      <c r="E12" s="545"/>
      <c r="F12" s="545"/>
      <c r="G12" s="545"/>
      <c r="H12" s="545"/>
      <c r="I12" s="545"/>
      <c r="J12" s="545"/>
      <c r="K12" s="545"/>
      <c r="L12" s="545"/>
      <c r="M12" s="546"/>
      <c r="N12" s="4"/>
      <c r="O12" s="19"/>
    </row>
    <row r="13" spans="1:15" ht="27" customHeight="1" thickBot="1" x14ac:dyDescent="0.3">
      <c r="A13" s="472" t="s">
        <v>6</v>
      </c>
      <c r="B13" s="472" t="s">
        <v>8</v>
      </c>
      <c r="C13" s="458" t="s">
        <v>37</v>
      </c>
      <c r="D13" s="459"/>
      <c r="E13" s="537" t="s">
        <v>7</v>
      </c>
      <c r="F13" s="460" t="s">
        <v>14</v>
      </c>
      <c r="G13" s="461"/>
      <c r="H13" s="450" t="s">
        <v>7</v>
      </c>
      <c r="I13" s="20"/>
      <c r="J13" s="450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472" t="s">
        <v>11</v>
      </c>
    </row>
    <row r="14" spans="1:15" ht="15.75" thickBot="1" x14ac:dyDescent="0.3">
      <c r="A14" s="473"/>
      <c r="B14" s="473"/>
      <c r="C14" s="54" t="s">
        <v>38</v>
      </c>
      <c r="D14" s="54" t="s">
        <v>39</v>
      </c>
      <c r="E14" s="538"/>
      <c r="F14" s="5" t="s">
        <v>0</v>
      </c>
      <c r="G14" s="25" t="s">
        <v>1</v>
      </c>
      <c r="H14" s="451"/>
      <c r="I14" s="24"/>
      <c r="J14" s="451"/>
      <c r="K14" s="451"/>
      <c r="L14" s="451"/>
      <c r="M14" s="451"/>
      <c r="N14" s="451"/>
      <c r="O14" s="473"/>
    </row>
    <row r="15" spans="1:15" x14ac:dyDescent="0.25">
      <c r="A15" s="21"/>
      <c r="B15" s="7"/>
      <c r="C15" s="56">
        <v>0</v>
      </c>
      <c r="D15" s="56">
        <v>0</v>
      </c>
      <c r="E15" s="66">
        <f>D15-C15+1</f>
        <v>1</v>
      </c>
      <c r="F15" s="8">
        <v>0</v>
      </c>
      <c r="G15" s="8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11"/>
    </row>
    <row r="16" spans="1:15" x14ac:dyDescent="0.25">
      <c r="A16" s="21"/>
      <c r="B16" s="7"/>
      <c r="C16" s="56"/>
      <c r="D16" s="56"/>
      <c r="E16" s="66"/>
      <c r="F16" s="8"/>
      <c r="G16" s="8"/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11"/>
    </row>
    <row r="17" spans="1:15" ht="15.75" thickBot="1" x14ac:dyDescent="0.3">
      <c r="A17" s="21"/>
      <c r="B17" s="7"/>
      <c r="C17" s="56"/>
      <c r="D17" s="56"/>
      <c r="E17" s="66"/>
      <c r="F17" s="8"/>
      <c r="G17" s="8"/>
      <c r="H17" s="9">
        <f>G17-F17+1</f>
        <v>1</v>
      </c>
      <c r="I17" s="9"/>
      <c r="J17" s="10">
        <v>0</v>
      </c>
      <c r="K17" s="10">
        <f>J17/30</f>
        <v>0</v>
      </c>
      <c r="L17" s="9">
        <v>0</v>
      </c>
      <c r="M17" s="10">
        <f>K17*L17</f>
        <v>0</v>
      </c>
      <c r="N17" s="10">
        <f>M17*0.9</f>
        <v>0</v>
      </c>
      <c r="O17" s="11"/>
    </row>
    <row r="18" spans="1:15" ht="15.75" thickBot="1" x14ac:dyDescent="0.3">
      <c r="A18" s="4"/>
      <c r="B18" s="18"/>
      <c r="C18" s="18"/>
      <c r="D18" s="18"/>
      <c r="E18" s="18"/>
      <c r="F18" s="18"/>
      <c r="G18" s="18"/>
      <c r="H18" s="18"/>
      <c r="I18" s="18"/>
      <c r="J18" s="18"/>
      <c r="K18" s="4"/>
      <c r="L18" s="4"/>
      <c r="M18" s="4"/>
      <c r="N18" s="27">
        <f>SUM(N15:N17)</f>
        <v>0</v>
      </c>
      <c r="O18" s="4"/>
    </row>
    <row r="19" spans="1:15" ht="15" customHeight="1" x14ac:dyDescent="0.25">
      <c r="A19" s="4"/>
      <c r="B19" s="4"/>
      <c r="C19" s="541" t="s">
        <v>25</v>
      </c>
      <c r="D19" s="542"/>
      <c r="E19" s="542"/>
      <c r="F19" s="542"/>
      <c r="G19" s="542"/>
      <c r="H19" s="542"/>
      <c r="I19" s="542"/>
      <c r="J19" s="542"/>
      <c r="K19" s="542"/>
      <c r="L19" s="542"/>
      <c r="M19" s="543"/>
      <c r="N19" s="4"/>
      <c r="O19" s="4"/>
    </row>
    <row r="20" spans="1:15" ht="15.75" customHeight="1" thickBot="1" x14ac:dyDescent="0.3">
      <c r="A20" s="4"/>
      <c r="B20" s="4"/>
      <c r="C20" s="544"/>
      <c r="D20" s="545"/>
      <c r="E20" s="545"/>
      <c r="F20" s="545"/>
      <c r="G20" s="545"/>
      <c r="H20" s="599"/>
      <c r="I20" s="599"/>
      <c r="J20" s="545"/>
      <c r="K20" s="545"/>
      <c r="L20" s="545"/>
      <c r="M20" s="546"/>
      <c r="N20" s="4"/>
      <c r="O20" s="19"/>
    </row>
    <row r="21" spans="1:15" ht="24.75" customHeight="1" thickBot="1" x14ac:dyDescent="0.3">
      <c r="A21" s="472" t="s">
        <v>6</v>
      </c>
      <c r="B21" s="472" t="s">
        <v>8</v>
      </c>
      <c r="C21" s="458" t="s">
        <v>37</v>
      </c>
      <c r="D21" s="459"/>
      <c r="E21" s="537"/>
      <c r="F21" s="460" t="s">
        <v>14</v>
      </c>
      <c r="G21" s="584"/>
      <c r="H21" s="597" t="s">
        <v>7</v>
      </c>
      <c r="I21" s="208"/>
      <c r="J21" s="450" t="s">
        <v>2</v>
      </c>
      <c r="K21" s="450" t="s">
        <v>3</v>
      </c>
      <c r="L21" s="450" t="s">
        <v>4</v>
      </c>
      <c r="M21" s="450" t="s">
        <v>5</v>
      </c>
      <c r="N21" s="450" t="s">
        <v>10</v>
      </c>
      <c r="O21" s="472" t="s">
        <v>11</v>
      </c>
    </row>
    <row r="22" spans="1:15" ht="15.75" thickBot="1" x14ac:dyDescent="0.3">
      <c r="A22" s="473"/>
      <c r="B22" s="473"/>
      <c r="C22" s="54" t="s">
        <v>38</v>
      </c>
      <c r="D22" s="54" t="s">
        <v>39</v>
      </c>
      <c r="E22" s="538"/>
      <c r="F22" s="5" t="s">
        <v>0</v>
      </c>
      <c r="G22" s="25" t="s">
        <v>1</v>
      </c>
      <c r="H22" s="597"/>
      <c r="I22" s="15"/>
      <c r="J22" s="451"/>
      <c r="K22" s="451"/>
      <c r="L22" s="451"/>
      <c r="M22" s="451"/>
      <c r="N22" s="451"/>
      <c r="O22" s="473"/>
    </row>
    <row r="23" spans="1:15" x14ac:dyDescent="0.25">
      <c r="A23" s="21"/>
      <c r="B23" s="7"/>
      <c r="C23" s="56"/>
      <c r="D23" s="56"/>
      <c r="E23" s="55"/>
      <c r="F23" s="8"/>
      <c r="G23" s="203"/>
      <c r="H23" s="15">
        <f>G23-F23+1</f>
        <v>1</v>
      </c>
      <c r="I23" s="15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11"/>
    </row>
    <row r="24" spans="1:15" x14ac:dyDescent="0.25">
      <c r="A24" s="21"/>
      <c r="B24" s="7"/>
      <c r="C24" s="7"/>
      <c r="D24" s="7"/>
      <c r="E24" s="7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ht="15.75" thickBot="1" x14ac:dyDescent="0.3">
      <c r="A25" s="21"/>
      <c r="B25" s="7"/>
      <c r="C25" s="7"/>
      <c r="D25" s="7"/>
      <c r="E25" s="7"/>
      <c r="F25" s="8"/>
      <c r="G25" s="203"/>
      <c r="H25" s="15">
        <f>G25-F25+1</f>
        <v>1</v>
      </c>
      <c r="I25" s="15"/>
      <c r="J25" s="10">
        <v>0</v>
      </c>
      <c r="K25" s="10">
        <f>J25/30</f>
        <v>0</v>
      </c>
      <c r="L25" s="9"/>
      <c r="M25" s="10">
        <f>K25*L25</f>
        <v>0</v>
      </c>
      <c r="N25" s="10">
        <f>M25*0.9</f>
        <v>0</v>
      </c>
      <c r="O25" s="11"/>
    </row>
    <row r="26" spans="1:15" ht="15.75" thickBot="1" x14ac:dyDescent="0.3">
      <c r="A26" s="4"/>
      <c r="B26" s="18"/>
      <c r="C26" s="18"/>
      <c r="D26" s="18"/>
      <c r="E26" s="18"/>
      <c r="F26" s="18"/>
      <c r="G26" s="18"/>
      <c r="H26" s="18"/>
      <c r="I26" s="18"/>
      <c r="J26" s="18"/>
      <c r="K26" s="4"/>
      <c r="L26" s="4"/>
      <c r="M26" s="4"/>
      <c r="N26" s="27">
        <f>SUM(N23:N25)</f>
        <v>0</v>
      </c>
      <c r="O26" s="46"/>
    </row>
    <row r="27" spans="1:15" ht="15.75" thickBot="1" x14ac:dyDescent="0.3"/>
    <row r="28" spans="1:15" ht="15.75" thickBot="1" x14ac:dyDescent="0.3">
      <c r="K28" s="547" t="s">
        <v>26</v>
      </c>
      <c r="L28" s="548"/>
      <c r="M28" s="549"/>
      <c r="N28" s="196">
        <f>N10+N18+N26</f>
        <v>0</v>
      </c>
    </row>
  </sheetData>
  <mergeCells count="42">
    <mergeCell ref="M21:M22"/>
    <mergeCell ref="N21:N22"/>
    <mergeCell ref="O21:O22"/>
    <mergeCell ref="K28:M28"/>
    <mergeCell ref="C19:M20"/>
    <mergeCell ref="H21:H22"/>
    <mergeCell ref="J21:J22"/>
    <mergeCell ref="K21:K22"/>
    <mergeCell ref="L21:L22"/>
    <mergeCell ref="A21:A22"/>
    <mergeCell ref="B21:B22"/>
    <mergeCell ref="C21:D21"/>
    <mergeCell ref="E21:E22"/>
    <mergeCell ref="F21:G21"/>
    <mergeCell ref="O13:O14"/>
    <mergeCell ref="A13:A14"/>
    <mergeCell ref="B13:B14"/>
    <mergeCell ref="C13:D13"/>
    <mergeCell ref="E13:E14"/>
    <mergeCell ref="F13:G13"/>
    <mergeCell ref="H13:H14"/>
    <mergeCell ref="J13:J14"/>
    <mergeCell ref="K13:K14"/>
    <mergeCell ref="L13:L14"/>
    <mergeCell ref="M13:M14"/>
    <mergeCell ref="N13:N14"/>
    <mergeCell ref="C11:M12"/>
    <mergeCell ref="A3:O3"/>
    <mergeCell ref="C4:M4"/>
    <mergeCell ref="A5:A6"/>
    <mergeCell ref="B5:B6"/>
    <mergeCell ref="C5:D5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O5:O6"/>
  </mergeCells>
  <pageMargins left="0.70866141732283472" right="0.70866141732283472" top="0.74803149606299213" bottom="0.74803149606299213" header="0.31496062992125984" footer="0.31496062992125984"/>
  <pageSetup scale="7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6"/>
  <sheetViews>
    <sheetView zoomScale="110" zoomScaleNormal="110" workbookViewId="0">
      <selection activeCell="O7" sqref="O7:O8"/>
    </sheetView>
  </sheetViews>
  <sheetFormatPr baseColWidth="10" defaultColWidth="11.42578125" defaultRowHeight="15" x14ac:dyDescent="0.25"/>
  <cols>
    <col min="1" max="1" width="3.5703125" customWidth="1"/>
    <col min="2" max="2" width="34.28515625" bestFit="1" customWidth="1"/>
    <col min="3" max="4" width="9.5703125" bestFit="1" customWidth="1"/>
    <col min="5" max="5" width="4.85546875" customWidth="1"/>
    <col min="6" max="6" width="8.140625" bestFit="1" customWidth="1"/>
    <col min="7" max="7" width="8.7109375" customWidth="1"/>
    <col min="8" max="8" width="5.5703125" customWidth="1"/>
    <col min="9" max="9" width="4.5703125" customWidth="1"/>
    <col min="10" max="10" width="11" customWidth="1"/>
    <col min="11" max="12" width="8.85546875" customWidth="1"/>
    <col min="15" max="15" width="17.28515625" bestFit="1" customWidth="1"/>
  </cols>
  <sheetData>
    <row r="1" spans="1:15" x14ac:dyDescent="0.25">
      <c r="A1" s="502" t="s">
        <v>46</v>
      </c>
      <c r="B1" s="502"/>
      <c r="M1" t="s">
        <v>94</v>
      </c>
    </row>
    <row r="2" spans="1:15" x14ac:dyDescent="0.25">
      <c r="A2" s="502" t="s">
        <v>47</v>
      </c>
      <c r="B2" s="502"/>
    </row>
    <row r="3" spans="1:15" ht="36" thickBot="1" x14ac:dyDescent="0.55000000000000004">
      <c r="A3" s="590" t="s">
        <v>92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</row>
    <row r="4" spans="1:15" ht="24.75" customHeight="1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3"/>
      <c r="N4" s="4"/>
      <c r="O4" s="4"/>
    </row>
    <row r="5" spans="1:15" ht="27" customHeight="1" thickBot="1" x14ac:dyDescent="0.3">
      <c r="A5" s="490" t="s">
        <v>6</v>
      </c>
      <c r="B5" s="472" t="s">
        <v>8</v>
      </c>
      <c r="C5" s="458" t="s">
        <v>37</v>
      </c>
      <c r="D5" s="459"/>
      <c r="E5" s="537"/>
      <c r="F5" s="594" t="s">
        <v>14</v>
      </c>
      <c r="G5" s="595"/>
      <c r="H5" s="464" t="s">
        <v>7</v>
      </c>
      <c r="I5" s="450" t="s">
        <v>35</v>
      </c>
      <c r="J5" s="592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5" t="s">
        <v>1</v>
      </c>
      <c r="H6" s="465"/>
      <c r="I6" s="451"/>
      <c r="J6" s="593"/>
      <c r="K6" s="465"/>
      <c r="L6" s="465"/>
      <c r="M6" s="465"/>
      <c r="N6" s="499"/>
      <c r="O6" s="483"/>
    </row>
    <row r="7" spans="1:15" x14ac:dyDescent="0.25">
      <c r="A7" s="6"/>
      <c r="B7" s="30"/>
      <c r="C7" s="56">
        <v>0</v>
      </c>
      <c r="D7" s="56">
        <v>0</v>
      </c>
      <c r="E7" s="55"/>
      <c r="F7" s="8">
        <v>0</v>
      </c>
      <c r="G7" s="8">
        <v>0</v>
      </c>
      <c r="H7" s="9">
        <f t="shared" ref="H7:H9" si="0">G7-F7+1</f>
        <v>1</v>
      </c>
      <c r="I7" s="9">
        <f t="shared" ref="I7:I9" si="1">H7-3</f>
        <v>-2</v>
      </c>
      <c r="J7" s="10">
        <v>0</v>
      </c>
      <c r="K7" s="10">
        <f t="shared" ref="K7:K9" si="2">J7/30</f>
        <v>0</v>
      </c>
      <c r="L7" s="9"/>
      <c r="M7" s="10">
        <f t="shared" ref="M7:M9" si="3">K7*L7</f>
        <v>0</v>
      </c>
      <c r="N7" s="10">
        <f t="shared" ref="N7:N9" si="4">M7*0.75</f>
        <v>0</v>
      </c>
      <c r="O7" s="359"/>
    </row>
    <row r="8" spans="1:15" x14ac:dyDescent="0.25">
      <c r="A8" s="6">
        <v>1</v>
      </c>
      <c r="B8" s="130" t="s">
        <v>93</v>
      </c>
      <c r="C8" s="56">
        <v>45477</v>
      </c>
      <c r="D8" s="56">
        <v>45506</v>
      </c>
      <c r="E8" s="121">
        <f>+D8-C8+1</f>
        <v>30</v>
      </c>
      <c r="F8" s="8">
        <v>45505</v>
      </c>
      <c r="G8" s="8">
        <v>45506</v>
      </c>
      <c r="H8" s="9">
        <f t="shared" si="0"/>
        <v>2</v>
      </c>
      <c r="I8" s="9">
        <f t="shared" si="1"/>
        <v>-1</v>
      </c>
      <c r="J8" s="10">
        <v>2500</v>
      </c>
      <c r="K8" s="10">
        <f t="shared" si="2"/>
        <v>83.333333333333329</v>
      </c>
      <c r="L8" s="160"/>
      <c r="M8" s="10">
        <f t="shared" si="3"/>
        <v>0</v>
      </c>
      <c r="N8" s="10">
        <f t="shared" si="4"/>
        <v>0</v>
      </c>
      <c r="O8" s="359"/>
    </row>
    <row r="9" spans="1:15" ht="15.75" thickBot="1" x14ac:dyDescent="0.3">
      <c r="A9" s="6"/>
      <c r="B9" s="7"/>
      <c r="C9" s="56"/>
      <c r="D9" s="56"/>
      <c r="E9" s="55"/>
      <c r="F9" s="8"/>
      <c r="G9" s="8"/>
      <c r="H9" s="9">
        <f t="shared" si="0"/>
        <v>1</v>
      </c>
      <c r="I9" s="9">
        <f t="shared" si="1"/>
        <v>-2</v>
      </c>
      <c r="J9" s="10"/>
      <c r="K9" s="10">
        <f t="shared" si="2"/>
        <v>0</v>
      </c>
      <c r="L9" s="9"/>
      <c r="M9" s="10">
        <f t="shared" si="3"/>
        <v>0</v>
      </c>
      <c r="N9" s="10">
        <f t="shared" si="4"/>
        <v>0</v>
      </c>
      <c r="O9" s="11"/>
    </row>
    <row r="10" spans="1:15" ht="15.75" thickBot="1" x14ac:dyDescent="0.3">
      <c r="A10" s="4"/>
      <c r="B10" s="18"/>
      <c r="C10" s="18"/>
      <c r="D10" s="18"/>
      <c r="E10" s="18"/>
      <c r="F10" s="18"/>
      <c r="G10" s="18"/>
      <c r="H10" s="18"/>
      <c r="I10" s="18"/>
      <c r="J10" s="18"/>
      <c r="K10" s="4"/>
      <c r="L10" s="4"/>
      <c r="M10" s="4"/>
      <c r="N10" s="27">
        <f>SUM(N7:N9)</f>
        <v>0</v>
      </c>
      <c r="O10" s="4"/>
    </row>
    <row r="11" spans="1:15" ht="15" customHeight="1" x14ac:dyDescent="0.25">
      <c r="A11" s="4"/>
      <c r="B11" s="4"/>
      <c r="C11" s="541" t="s">
        <v>13</v>
      </c>
      <c r="D11" s="542"/>
      <c r="E11" s="542"/>
      <c r="F11" s="542"/>
      <c r="G11" s="542"/>
      <c r="H11" s="542"/>
      <c r="I11" s="542"/>
      <c r="J11" s="542"/>
      <c r="K11" s="542"/>
      <c r="L11" s="542"/>
      <c r="M11" s="543"/>
      <c r="N11" s="4"/>
      <c r="O11" s="4"/>
    </row>
    <row r="12" spans="1:15" ht="15.75" customHeight="1" thickBot="1" x14ac:dyDescent="0.3">
      <c r="A12" s="4"/>
      <c r="B12" s="4"/>
      <c r="C12" s="544"/>
      <c r="D12" s="545"/>
      <c r="E12" s="545"/>
      <c r="F12" s="545"/>
      <c r="G12" s="545"/>
      <c r="H12" s="545"/>
      <c r="I12" s="545"/>
      <c r="J12" s="545"/>
      <c r="K12" s="545"/>
      <c r="L12" s="545"/>
      <c r="M12" s="546"/>
      <c r="N12" s="4"/>
      <c r="O12" s="19"/>
    </row>
    <row r="13" spans="1:15" ht="27" customHeight="1" thickBot="1" x14ac:dyDescent="0.3">
      <c r="A13" s="472" t="s">
        <v>6</v>
      </c>
      <c r="B13" s="472" t="s">
        <v>8</v>
      </c>
      <c r="C13" s="458" t="s">
        <v>37</v>
      </c>
      <c r="D13" s="459"/>
      <c r="E13" s="537" t="s">
        <v>7</v>
      </c>
      <c r="F13" s="460" t="s">
        <v>14</v>
      </c>
      <c r="G13" s="461"/>
      <c r="H13" s="450" t="s">
        <v>7</v>
      </c>
      <c r="I13" s="20"/>
      <c r="J13" s="450" t="s">
        <v>2</v>
      </c>
      <c r="K13" s="450" t="s">
        <v>3</v>
      </c>
      <c r="L13" s="450" t="s">
        <v>4</v>
      </c>
      <c r="M13" s="450" t="s">
        <v>5</v>
      </c>
      <c r="N13" s="450" t="s">
        <v>10</v>
      </c>
      <c r="O13" s="472" t="s">
        <v>11</v>
      </c>
    </row>
    <row r="14" spans="1:15" ht="15.75" thickBot="1" x14ac:dyDescent="0.3">
      <c r="A14" s="473"/>
      <c r="B14" s="473"/>
      <c r="C14" s="54" t="s">
        <v>38</v>
      </c>
      <c r="D14" s="54" t="s">
        <v>39</v>
      </c>
      <c r="E14" s="538"/>
      <c r="F14" s="5" t="s">
        <v>0</v>
      </c>
      <c r="G14" s="25" t="s">
        <v>1</v>
      </c>
      <c r="H14" s="451"/>
      <c r="I14" s="24"/>
      <c r="J14" s="451"/>
      <c r="K14" s="451"/>
      <c r="L14" s="451"/>
      <c r="M14" s="451"/>
      <c r="N14" s="451"/>
      <c r="O14" s="473"/>
    </row>
    <row r="15" spans="1:15" x14ac:dyDescent="0.25">
      <c r="A15" s="21"/>
      <c r="B15" s="7"/>
      <c r="C15" s="56">
        <v>0</v>
      </c>
      <c r="D15" s="56">
        <v>0</v>
      </c>
      <c r="E15" s="66">
        <f>D15-C15+1</f>
        <v>1</v>
      </c>
      <c r="F15" s="8">
        <v>0</v>
      </c>
      <c r="G15" s="8">
        <v>0</v>
      </c>
      <c r="H15" s="9">
        <f>G15-F15+1</f>
        <v>1</v>
      </c>
      <c r="I15" s="9"/>
      <c r="J15" s="10">
        <v>0</v>
      </c>
      <c r="K15" s="10">
        <f>J15/30</f>
        <v>0</v>
      </c>
      <c r="L15" s="9">
        <v>0</v>
      </c>
      <c r="M15" s="10">
        <f>K15*L15</f>
        <v>0</v>
      </c>
      <c r="N15" s="10">
        <f>M15*0.9</f>
        <v>0</v>
      </c>
      <c r="O15" s="11"/>
    </row>
    <row r="16" spans="1:15" ht="15.75" thickBot="1" x14ac:dyDescent="0.3">
      <c r="A16" s="21">
        <v>1</v>
      </c>
      <c r="B16" s="130"/>
      <c r="C16" s="56"/>
      <c r="D16" s="56"/>
      <c r="E16" s="66">
        <f>D16-C16+1</f>
        <v>1</v>
      </c>
      <c r="F16" s="8"/>
      <c r="G16" s="8"/>
      <c r="H16" s="9">
        <f>G16-F16+1</f>
        <v>1</v>
      </c>
      <c r="I16" s="9"/>
      <c r="J16" s="10"/>
      <c r="K16" s="10">
        <f>J16/30</f>
        <v>0</v>
      </c>
      <c r="L16" s="9"/>
      <c r="M16" s="10">
        <f>K16*L16</f>
        <v>0</v>
      </c>
      <c r="N16" s="10">
        <f>M16*0.9</f>
        <v>0</v>
      </c>
      <c r="O16" s="11"/>
    </row>
    <row r="17" spans="1:15" ht="15.75" thickBot="1" x14ac:dyDescent="0.3">
      <c r="A17" s="4"/>
      <c r="B17" s="18"/>
      <c r="C17" s="18"/>
      <c r="D17" s="18"/>
      <c r="E17" s="18"/>
      <c r="F17" s="18"/>
      <c r="G17" s="18"/>
      <c r="H17" s="18"/>
      <c r="I17" s="18"/>
      <c r="J17" s="18"/>
      <c r="K17" s="4"/>
      <c r="L17" s="4"/>
      <c r="M17" s="4"/>
      <c r="N17" s="27">
        <f>SUM(N15:N16)</f>
        <v>0</v>
      </c>
      <c r="O17" s="4"/>
    </row>
    <row r="18" spans="1:15" ht="15" customHeight="1" x14ac:dyDescent="0.25">
      <c r="A18" s="4"/>
      <c r="B18" s="4"/>
      <c r="C18" s="541" t="s">
        <v>25</v>
      </c>
      <c r="D18" s="542"/>
      <c r="E18" s="542"/>
      <c r="F18" s="542"/>
      <c r="G18" s="542"/>
      <c r="H18" s="599"/>
      <c r="I18" s="599"/>
      <c r="J18" s="542"/>
      <c r="K18" s="542"/>
      <c r="L18" s="542"/>
      <c r="M18" s="543"/>
      <c r="N18" s="4"/>
      <c r="O18" s="4"/>
    </row>
    <row r="19" spans="1:15" ht="15.75" customHeight="1" thickBot="1" x14ac:dyDescent="0.3">
      <c r="A19" s="4"/>
      <c r="B19" s="4"/>
      <c r="C19" s="544"/>
      <c r="D19" s="545"/>
      <c r="E19" s="545"/>
      <c r="F19" s="545"/>
      <c r="G19" s="545"/>
      <c r="H19" s="599"/>
      <c r="I19" s="599"/>
      <c r="J19" s="545"/>
      <c r="K19" s="545"/>
      <c r="L19" s="545"/>
      <c r="M19" s="546"/>
      <c r="N19" s="4"/>
      <c r="O19" s="19"/>
    </row>
    <row r="20" spans="1:15" ht="24.75" customHeight="1" thickBot="1" x14ac:dyDescent="0.3">
      <c r="A20" s="472" t="s">
        <v>6</v>
      </c>
      <c r="B20" s="472" t="s">
        <v>8</v>
      </c>
      <c r="C20" s="458" t="s">
        <v>37</v>
      </c>
      <c r="D20" s="459"/>
      <c r="E20" s="537"/>
      <c r="F20" s="460" t="s">
        <v>14</v>
      </c>
      <c r="G20" s="584"/>
      <c r="H20" s="597" t="s">
        <v>7</v>
      </c>
      <c r="I20" s="15"/>
      <c r="J20" s="450" t="s">
        <v>2</v>
      </c>
      <c r="K20" s="450" t="s">
        <v>3</v>
      </c>
      <c r="L20" s="450" t="s">
        <v>4</v>
      </c>
      <c r="M20" s="450" t="s">
        <v>5</v>
      </c>
      <c r="N20" s="450" t="s">
        <v>10</v>
      </c>
      <c r="O20" s="472" t="s">
        <v>11</v>
      </c>
    </row>
    <row r="21" spans="1:15" ht="15.75" thickBot="1" x14ac:dyDescent="0.3">
      <c r="A21" s="473"/>
      <c r="B21" s="473"/>
      <c r="C21" s="54" t="s">
        <v>38</v>
      </c>
      <c r="D21" s="54" t="s">
        <v>39</v>
      </c>
      <c r="E21" s="538"/>
      <c r="F21" s="5" t="s">
        <v>0</v>
      </c>
      <c r="G21" s="25" t="s">
        <v>1</v>
      </c>
      <c r="H21" s="597"/>
      <c r="I21" s="208"/>
      <c r="J21" s="451"/>
      <c r="K21" s="451"/>
      <c r="L21" s="451"/>
      <c r="M21" s="451"/>
      <c r="N21" s="451"/>
      <c r="O21" s="473"/>
    </row>
    <row r="22" spans="1:15" x14ac:dyDescent="0.25">
      <c r="A22" s="21"/>
      <c r="B22" s="7"/>
      <c r="C22" s="56">
        <v>0</v>
      </c>
      <c r="D22" s="56">
        <v>0</v>
      </c>
      <c r="E22" s="55"/>
      <c r="F22" s="8">
        <v>0</v>
      </c>
      <c r="G22" s="203">
        <v>0</v>
      </c>
      <c r="H22" s="15">
        <f>G22-F22+1</f>
        <v>1</v>
      </c>
      <c r="I22" s="15"/>
      <c r="J22" s="10">
        <v>0</v>
      </c>
      <c r="K22" s="10">
        <f>J22/30</f>
        <v>0</v>
      </c>
      <c r="L22" s="9"/>
      <c r="M22" s="10">
        <f>K22*L22</f>
        <v>0</v>
      </c>
      <c r="N22" s="10">
        <f>M22*0.9</f>
        <v>0</v>
      </c>
      <c r="O22" s="11"/>
    </row>
    <row r="23" spans="1:15" ht="15.75" thickBot="1" x14ac:dyDescent="0.3">
      <c r="A23" s="21"/>
      <c r="B23" s="7"/>
      <c r="C23" s="7"/>
      <c r="D23" s="7"/>
      <c r="E23" s="7"/>
      <c r="F23" s="8">
        <v>0</v>
      </c>
      <c r="G23" s="203">
        <v>0</v>
      </c>
      <c r="H23" s="15">
        <f>G23-F23+1</f>
        <v>1</v>
      </c>
      <c r="I23" s="15"/>
      <c r="J23" s="10">
        <v>0</v>
      </c>
      <c r="K23" s="10">
        <f>J23/30</f>
        <v>0</v>
      </c>
      <c r="L23" s="9"/>
      <c r="M23" s="10">
        <f>K23*L23</f>
        <v>0</v>
      </c>
      <c r="N23" s="10">
        <f>M23*0.9</f>
        <v>0</v>
      </c>
      <c r="O23" s="11"/>
    </row>
    <row r="24" spans="1:15" ht="15.75" thickBot="1" x14ac:dyDescent="0.3">
      <c r="A24" s="4"/>
      <c r="B24" s="18"/>
      <c r="C24" s="18"/>
      <c r="D24" s="18"/>
      <c r="E24" s="18"/>
      <c r="F24" s="18"/>
      <c r="G24" s="18"/>
      <c r="H24" s="18"/>
      <c r="I24" s="18"/>
      <c r="J24" s="18"/>
      <c r="K24" s="4"/>
      <c r="L24" s="4"/>
      <c r="M24" s="4"/>
      <c r="N24" s="27">
        <f>SUM(N22:N23)</f>
        <v>0</v>
      </c>
      <c r="O24" s="46"/>
    </row>
    <row r="25" spans="1:15" ht="15.75" thickBot="1" x14ac:dyDescent="0.3"/>
    <row r="26" spans="1:15" ht="19.5" thickBot="1" x14ac:dyDescent="0.35">
      <c r="K26" s="547" t="s">
        <v>26</v>
      </c>
      <c r="L26" s="548"/>
      <c r="M26" s="549"/>
      <c r="N26" s="198">
        <f>N10+N17+N24</f>
        <v>0</v>
      </c>
    </row>
  </sheetData>
  <mergeCells count="44">
    <mergeCell ref="A1:B1"/>
    <mergeCell ref="A2:B2"/>
    <mergeCell ref="C11:M12"/>
    <mergeCell ref="A3:O3"/>
    <mergeCell ref="C4:M4"/>
    <mergeCell ref="A5:A6"/>
    <mergeCell ref="B5:B6"/>
    <mergeCell ref="C5:D5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O5:O6"/>
    <mergeCell ref="O13:O14"/>
    <mergeCell ref="A13:A14"/>
    <mergeCell ref="B13:B14"/>
    <mergeCell ref="C13:D13"/>
    <mergeCell ref="E13:E14"/>
    <mergeCell ref="F13:G13"/>
    <mergeCell ref="H13:H14"/>
    <mergeCell ref="J13:J14"/>
    <mergeCell ref="K13:K14"/>
    <mergeCell ref="L13:L14"/>
    <mergeCell ref="M13:M14"/>
    <mergeCell ref="N13:N14"/>
    <mergeCell ref="A20:A21"/>
    <mergeCell ref="B20:B21"/>
    <mergeCell ref="C20:D20"/>
    <mergeCell ref="E20:E21"/>
    <mergeCell ref="F20:G20"/>
    <mergeCell ref="M20:M21"/>
    <mergeCell ref="N20:N21"/>
    <mergeCell ref="O20:O21"/>
    <mergeCell ref="K26:M26"/>
    <mergeCell ref="C18:M19"/>
    <mergeCell ref="H20:H21"/>
    <mergeCell ref="J20:J21"/>
    <mergeCell ref="K20:K21"/>
    <mergeCell ref="L20:L21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9"/>
  <sheetViews>
    <sheetView zoomScaleNormal="100" workbookViewId="0">
      <selection activeCell="L8" sqref="L8"/>
    </sheetView>
  </sheetViews>
  <sheetFormatPr baseColWidth="10" defaultColWidth="11.42578125" defaultRowHeight="15" x14ac:dyDescent="0.25"/>
  <cols>
    <col min="1" max="1" width="3.5703125" customWidth="1"/>
    <col min="2" max="2" width="25.85546875" customWidth="1"/>
    <col min="3" max="4" width="12.7109375" customWidth="1"/>
    <col min="5" max="5" width="4.85546875" customWidth="1"/>
    <col min="6" max="7" width="8.7109375" customWidth="1"/>
    <col min="8" max="8" width="4.85546875" customWidth="1"/>
    <col min="9" max="9" width="4.5703125" customWidth="1"/>
    <col min="10" max="10" width="10.5703125" customWidth="1"/>
    <col min="11" max="12" width="8.85546875" customWidth="1"/>
    <col min="14" max="14" width="13" customWidth="1"/>
    <col min="15" max="15" width="21.85546875" customWidth="1"/>
  </cols>
  <sheetData>
    <row r="1" spans="1:15" x14ac:dyDescent="0.25">
      <c r="A1" s="94" t="s">
        <v>46</v>
      </c>
      <c r="B1" s="90"/>
    </row>
    <row r="2" spans="1:15" ht="18" customHeight="1" x14ac:dyDescent="0.25">
      <c r="A2" s="227"/>
      <c r="B2" s="90" t="s">
        <v>47</v>
      </c>
      <c r="M2" s="303" t="s">
        <v>81</v>
      </c>
      <c r="O2" s="303" t="s">
        <v>130</v>
      </c>
    </row>
    <row r="3" spans="1:15" ht="36" customHeight="1" thickBot="1" x14ac:dyDescent="0.3">
      <c r="A3" s="618" t="s">
        <v>129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</row>
    <row r="4" spans="1:15" ht="23.25" thickBot="1" x14ac:dyDescent="0.35">
      <c r="A4" s="4"/>
      <c r="B4" s="4"/>
      <c r="C4" s="551" t="s">
        <v>17</v>
      </c>
      <c r="D4" s="552"/>
      <c r="E4" s="552"/>
      <c r="F4" s="552"/>
      <c r="G4" s="552"/>
      <c r="H4" s="552"/>
      <c r="I4" s="552"/>
      <c r="J4" s="552"/>
      <c r="K4" s="552"/>
      <c r="L4" s="552"/>
      <c r="M4" s="553"/>
      <c r="N4" s="4"/>
      <c r="O4" s="4"/>
    </row>
    <row r="5" spans="1:15" ht="21" thickBot="1" x14ac:dyDescent="0.3">
      <c r="A5" s="490" t="s">
        <v>6</v>
      </c>
      <c r="B5" s="472" t="s">
        <v>8</v>
      </c>
      <c r="C5" s="458" t="s">
        <v>37</v>
      </c>
      <c r="D5" s="459"/>
      <c r="E5" s="537"/>
      <c r="F5" s="594" t="s">
        <v>14</v>
      </c>
      <c r="G5" s="595"/>
      <c r="H5" s="464" t="s">
        <v>7</v>
      </c>
      <c r="I5" s="450" t="s">
        <v>35</v>
      </c>
      <c r="J5" s="592" t="s">
        <v>2</v>
      </c>
      <c r="K5" s="464" t="s">
        <v>3</v>
      </c>
      <c r="L5" s="464" t="s">
        <v>4</v>
      </c>
      <c r="M5" s="464" t="s">
        <v>5</v>
      </c>
      <c r="N5" s="498" t="s">
        <v>9</v>
      </c>
      <c r="O5" s="482" t="s">
        <v>11</v>
      </c>
    </row>
    <row r="6" spans="1:15" ht="15.75" thickBot="1" x14ac:dyDescent="0.3">
      <c r="A6" s="491"/>
      <c r="B6" s="473"/>
      <c r="C6" s="54" t="s">
        <v>38</v>
      </c>
      <c r="D6" s="54" t="s">
        <v>39</v>
      </c>
      <c r="E6" s="538"/>
      <c r="F6" s="5" t="s">
        <v>0</v>
      </c>
      <c r="G6" s="230" t="s">
        <v>1</v>
      </c>
      <c r="H6" s="465"/>
      <c r="I6" s="451"/>
      <c r="J6" s="593"/>
      <c r="K6" s="465"/>
      <c r="L6" s="465"/>
      <c r="M6" s="465"/>
      <c r="N6" s="499"/>
      <c r="O6" s="483"/>
    </row>
    <row r="7" spans="1:15" x14ac:dyDescent="0.25">
      <c r="A7" s="6"/>
      <c r="B7" s="30"/>
      <c r="C7" s="56">
        <v>0</v>
      </c>
      <c r="D7" s="56">
        <v>0</v>
      </c>
      <c r="E7" s="55"/>
      <c r="F7" s="8">
        <v>0</v>
      </c>
      <c r="G7" s="8">
        <v>0</v>
      </c>
      <c r="H7" s="9">
        <f>G7-F7+1</f>
        <v>1</v>
      </c>
      <c r="I7" s="9">
        <f>H7-3</f>
        <v>-2</v>
      </c>
      <c r="J7" s="10">
        <v>0</v>
      </c>
      <c r="K7" s="10">
        <f>J7/30</f>
        <v>0</v>
      </c>
      <c r="L7" s="9"/>
      <c r="M7" s="10">
        <f>K7*L7</f>
        <v>0</v>
      </c>
      <c r="N7" s="10">
        <f>M7*0.75</f>
        <v>0</v>
      </c>
      <c r="O7" s="11"/>
    </row>
    <row r="8" spans="1:15" x14ac:dyDescent="0.25">
      <c r="A8" s="6">
        <v>1</v>
      </c>
      <c r="B8" s="130" t="s">
        <v>131</v>
      </c>
      <c r="C8" s="56"/>
      <c r="D8" s="56"/>
      <c r="E8" s="121">
        <f>+D8-C8+1</f>
        <v>1</v>
      </c>
      <c r="F8" s="8">
        <v>45639</v>
      </c>
      <c r="G8" s="8">
        <v>45645</v>
      </c>
      <c r="H8" s="9">
        <f>G8-F8+1</f>
        <v>7</v>
      </c>
      <c r="I8" s="9">
        <f>H8-3</f>
        <v>4</v>
      </c>
      <c r="J8" s="10">
        <v>3630</v>
      </c>
      <c r="K8" s="10">
        <f>J8/30</f>
        <v>121</v>
      </c>
      <c r="L8" s="9"/>
      <c r="M8" s="10">
        <f>K8*L8</f>
        <v>0</v>
      </c>
      <c r="N8" s="10">
        <f>M8*0.75</f>
        <v>0</v>
      </c>
      <c r="O8" s="11"/>
    </row>
    <row r="9" spans="1:15" x14ac:dyDescent="0.25">
      <c r="A9" s="6">
        <v>1</v>
      </c>
      <c r="B9" s="130"/>
      <c r="C9" s="56"/>
      <c r="D9" s="56"/>
      <c r="E9" s="121">
        <f>+D9-C9+1</f>
        <v>1</v>
      </c>
      <c r="F9" s="8"/>
      <c r="G9" s="8"/>
      <c r="H9" s="9">
        <f>G9-F9+1</f>
        <v>1</v>
      </c>
      <c r="I9" s="9">
        <f>H9-3</f>
        <v>-2</v>
      </c>
      <c r="J9" s="10"/>
      <c r="K9" s="10">
        <f>J9/30</f>
        <v>0</v>
      </c>
      <c r="L9" s="9"/>
      <c r="M9" s="10">
        <f>K9*L9</f>
        <v>0</v>
      </c>
      <c r="N9" s="10">
        <f>M9*0.75</f>
        <v>0</v>
      </c>
      <c r="O9" s="11"/>
    </row>
    <row r="10" spans="1:15" ht="15" customHeight="1" thickBot="1" x14ac:dyDescent="0.3">
      <c r="A10" s="6"/>
      <c r="B10" s="130"/>
      <c r="C10" s="56"/>
      <c r="D10" s="56"/>
      <c r="E10" s="55"/>
      <c r="F10" s="8"/>
      <c r="G10" s="8"/>
      <c r="H10" s="9">
        <f>G10-F10+1</f>
        <v>1</v>
      </c>
      <c r="I10" s="9">
        <f>H10-3</f>
        <v>-2</v>
      </c>
      <c r="J10" s="10"/>
      <c r="K10" s="10">
        <f>J10/30</f>
        <v>0</v>
      </c>
      <c r="L10" s="9"/>
      <c r="M10" s="10">
        <f>K10*L10</f>
        <v>0</v>
      </c>
      <c r="N10" s="10">
        <f>M10*0.75</f>
        <v>0</v>
      </c>
      <c r="O10" s="11"/>
    </row>
    <row r="11" spans="1:15" ht="15.75" customHeight="1" thickBot="1" x14ac:dyDescent="0.3">
      <c r="A11" s="4"/>
      <c r="B11" s="18"/>
      <c r="C11" s="18"/>
      <c r="D11" s="18"/>
      <c r="E11" s="18"/>
      <c r="F11" s="18"/>
      <c r="G11" s="18"/>
      <c r="H11" s="18"/>
      <c r="I11" s="18"/>
      <c r="J11" s="18"/>
      <c r="K11" s="4"/>
      <c r="L11" s="4"/>
      <c r="M11" s="4"/>
      <c r="N11" s="27">
        <f>SUM(N7:N10)</f>
        <v>0</v>
      </c>
      <c r="O11" s="4"/>
    </row>
    <row r="12" spans="1:15" ht="27" customHeight="1" x14ac:dyDescent="0.25">
      <c r="A12" s="4"/>
      <c r="B12" s="4"/>
      <c r="C12" s="541" t="s">
        <v>13</v>
      </c>
      <c r="D12" s="542"/>
      <c r="E12" s="542"/>
      <c r="F12" s="542"/>
      <c r="G12" s="542"/>
      <c r="H12" s="542"/>
      <c r="I12" s="542"/>
      <c r="J12" s="542"/>
      <c r="K12" s="542"/>
      <c r="L12" s="542"/>
      <c r="M12" s="543"/>
      <c r="N12" s="4"/>
      <c r="O12" s="4"/>
    </row>
    <row r="13" spans="1:15" ht="15.75" thickBot="1" x14ac:dyDescent="0.3">
      <c r="A13" s="4"/>
      <c r="B13" s="4"/>
      <c r="C13" s="544"/>
      <c r="D13" s="545"/>
      <c r="E13" s="545"/>
      <c r="F13" s="545"/>
      <c r="G13" s="545"/>
      <c r="H13" s="545"/>
      <c r="I13" s="545"/>
      <c r="J13" s="545"/>
      <c r="K13" s="545"/>
      <c r="L13" s="545"/>
      <c r="M13" s="546"/>
      <c r="N13" s="4"/>
      <c r="O13" s="19"/>
    </row>
    <row r="14" spans="1:15" ht="20.25" thickBot="1" x14ac:dyDescent="0.3">
      <c r="A14" s="472" t="s">
        <v>6</v>
      </c>
      <c r="B14" s="472" t="s">
        <v>8</v>
      </c>
      <c r="C14" s="458" t="s">
        <v>37</v>
      </c>
      <c r="D14" s="459"/>
      <c r="E14" s="537" t="s">
        <v>7</v>
      </c>
      <c r="F14" s="460" t="s">
        <v>14</v>
      </c>
      <c r="G14" s="461"/>
      <c r="H14" s="450" t="s">
        <v>7</v>
      </c>
      <c r="I14" s="228"/>
      <c r="J14" s="450" t="s">
        <v>2</v>
      </c>
      <c r="K14" s="450" t="s">
        <v>3</v>
      </c>
      <c r="L14" s="450" t="s">
        <v>4</v>
      </c>
      <c r="M14" s="450" t="s">
        <v>5</v>
      </c>
      <c r="N14" s="450" t="s">
        <v>10</v>
      </c>
      <c r="O14" s="472" t="s">
        <v>11</v>
      </c>
    </row>
    <row r="15" spans="1:15" ht="15.75" thickBot="1" x14ac:dyDescent="0.3">
      <c r="A15" s="473"/>
      <c r="B15" s="473"/>
      <c r="C15" s="54" t="s">
        <v>38</v>
      </c>
      <c r="D15" s="54" t="s">
        <v>39</v>
      </c>
      <c r="E15" s="538"/>
      <c r="F15" s="5" t="s">
        <v>0</v>
      </c>
      <c r="G15" s="230" t="s">
        <v>1</v>
      </c>
      <c r="H15" s="451"/>
      <c r="I15" s="226"/>
      <c r="J15" s="451"/>
      <c r="K15" s="451"/>
      <c r="L15" s="451"/>
      <c r="M15" s="451"/>
      <c r="N15" s="451"/>
      <c r="O15" s="473"/>
    </row>
    <row r="16" spans="1:15" x14ac:dyDescent="0.25">
      <c r="A16" s="21"/>
      <c r="B16" s="7"/>
      <c r="C16" s="56">
        <v>0</v>
      </c>
      <c r="D16" s="56">
        <v>0</v>
      </c>
      <c r="E16" s="66">
        <f>D16-C16+1</f>
        <v>1</v>
      </c>
      <c r="F16" s="8">
        <v>0</v>
      </c>
      <c r="G16" s="8">
        <v>0</v>
      </c>
      <c r="H16" s="9">
        <f>G16-F16+1</f>
        <v>1</v>
      </c>
      <c r="I16" s="9"/>
      <c r="J16" s="10">
        <v>0</v>
      </c>
      <c r="K16" s="10">
        <f>J16/30</f>
        <v>0</v>
      </c>
      <c r="L16" s="9">
        <v>0</v>
      </c>
      <c r="M16" s="10">
        <f>K16*L16</f>
        <v>0</v>
      </c>
      <c r="N16" s="10">
        <f>M16*0.9</f>
        <v>0</v>
      </c>
      <c r="O16" s="11"/>
    </row>
    <row r="17" spans="1:15" x14ac:dyDescent="0.25">
      <c r="A17" s="21">
        <v>1</v>
      </c>
      <c r="B17" s="173"/>
      <c r="C17" s="56"/>
      <c r="D17" s="56"/>
      <c r="E17" s="66">
        <f>D17-C17+1</f>
        <v>1</v>
      </c>
      <c r="F17" s="8"/>
      <c r="G17" s="8"/>
      <c r="H17" s="9">
        <f>G17-F17+1</f>
        <v>1</v>
      </c>
      <c r="I17" s="9"/>
      <c r="J17" s="10"/>
      <c r="K17" s="10">
        <f>J17/30</f>
        <v>0</v>
      </c>
      <c r="L17" s="9"/>
      <c r="M17" s="10">
        <f>K17*L17</f>
        <v>0</v>
      </c>
      <c r="N17" s="10">
        <f>M17*0.9</f>
        <v>0</v>
      </c>
      <c r="O17" s="11"/>
    </row>
    <row r="18" spans="1:15" ht="15" customHeight="1" thickBot="1" x14ac:dyDescent="0.3">
      <c r="A18" s="21"/>
      <c r="B18" s="7"/>
      <c r="C18" s="56"/>
      <c r="D18" s="56"/>
      <c r="E18" s="66">
        <f>D18-C18+1</f>
        <v>1</v>
      </c>
      <c r="F18" s="8"/>
      <c r="G18" s="8"/>
      <c r="H18" s="9">
        <f>G18-F18+1</f>
        <v>1</v>
      </c>
      <c r="I18" s="9"/>
      <c r="J18" s="10">
        <v>0</v>
      </c>
      <c r="K18" s="10">
        <f>J18/30</f>
        <v>0</v>
      </c>
      <c r="L18" s="9">
        <v>0</v>
      </c>
      <c r="M18" s="10">
        <f>K18*L18</f>
        <v>0</v>
      </c>
      <c r="N18" s="10">
        <f>M18*0.9</f>
        <v>0</v>
      </c>
      <c r="O18" s="11"/>
    </row>
    <row r="19" spans="1:15" ht="15.75" customHeight="1" thickBot="1" x14ac:dyDescent="0.3">
      <c r="A19" s="4"/>
      <c r="B19" s="18"/>
      <c r="C19" s="18"/>
      <c r="D19" s="18"/>
      <c r="E19" s="18"/>
      <c r="F19" s="18"/>
      <c r="G19" s="18"/>
      <c r="H19" s="18"/>
      <c r="I19" s="18"/>
      <c r="J19" s="18"/>
      <c r="K19" s="4"/>
      <c r="L19" s="4"/>
      <c r="M19" s="4"/>
      <c r="N19" s="27">
        <f>SUM(N16:N18)</f>
        <v>0</v>
      </c>
      <c r="O19" s="4"/>
    </row>
    <row r="20" spans="1:15" ht="24.75" customHeight="1" x14ac:dyDescent="0.25">
      <c r="A20" s="4"/>
      <c r="B20" s="4"/>
      <c r="C20" s="541" t="s">
        <v>25</v>
      </c>
      <c r="D20" s="542"/>
      <c r="E20" s="542"/>
      <c r="F20" s="542"/>
      <c r="G20" s="542"/>
      <c r="H20" s="542"/>
      <c r="I20" s="542"/>
      <c r="J20" s="542"/>
      <c r="K20" s="542"/>
      <c r="L20" s="542"/>
      <c r="M20" s="543"/>
      <c r="N20" s="4"/>
      <c r="O20" s="4"/>
    </row>
    <row r="21" spans="1:15" ht="15.75" thickBot="1" x14ac:dyDescent="0.3">
      <c r="A21" s="4"/>
      <c r="B21" s="4"/>
      <c r="C21" s="544"/>
      <c r="D21" s="545"/>
      <c r="E21" s="545"/>
      <c r="F21" s="545"/>
      <c r="G21" s="545"/>
      <c r="H21" s="599"/>
      <c r="I21" s="599"/>
      <c r="J21" s="545"/>
      <c r="K21" s="545"/>
      <c r="L21" s="545"/>
      <c r="M21" s="546"/>
      <c r="N21" s="4"/>
      <c r="O21" s="19"/>
    </row>
    <row r="22" spans="1:15" ht="20.25" thickBot="1" x14ac:dyDescent="0.3">
      <c r="A22" s="472" t="s">
        <v>6</v>
      </c>
      <c r="B22" s="472" t="s">
        <v>8</v>
      </c>
      <c r="C22" s="458" t="s">
        <v>37</v>
      </c>
      <c r="D22" s="459"/>
      <c r="E22" s="537"/>
      <c r="F22" s="460" t="s">
        <v>14</v>
      </c>
      <c r="G22" s="584"/>
      <c r="H22" s="597" t="s">
        <v>7</v>
      </c>
      <c r="I22" s="229"/>
      <c r="J22" s="450" t="s">
        <v>2</v>
      </c>
      <c r="K22" s="450" t="s">
        <v>3</v>
      </c>
      <c r="L22" s="450" t="s">
        <v>4</v>
      </c>
      <c r="M22" s="450" t="s">
        <v>5</v>
      </c>
      <c r="N22" s="450" t="s">
        <v>10</v>
      </c>
      <c r="O22" s="472" t="s">
        <v>11</v>
      </c>
    </row>
    <row r="23" spans="1:15" ht="15.75" thickBot="1" x14ac:dyDescent="0.3">
      <c r="A23" s="473"/>
      <c r="B23" s="473"/>
      <c r="C23" s="54" t="s">
        <v>38</v>
      </c>
      <c r="D23" s="54" t="s">
        <v>39</v>
      </c>
      <c r="E23" s="538"/>
      <c r="F23" s="5" t="s">
        <v>0</v>
      </c>
      <c r="G23" s="230" t="s">
        <v>1</v>
      </c>
      <c r="H23" s="597"/>
      <c r="I23" s="15"/>
      <c r="J23" s="451"/>
      <c r="K23" s="451"/>
      <c r="L23" s="451"/>
      <c r="M23" s="451"/>
      <c r="N23" s="451"/>
      <c r="O23" s="473"/>
    </row>
    <row r="24" spans="1:15" x14ac:dyDescent="0.25">
      <c r="A24" s="21"/>
      <c r="B24" s="7"/>
      <c r="C24" s="56">
        <v>0</v>
      </c>
      <c r="D24" s="56">
        <v>0</v>
      </c>
      <c r="E24" s="55"/>
      <c r="F24" s="8"/>
      <c r="G24" s="203"/>
      <c r="H24" s="15">
        <f>G24-F24+1</f>
        <v>1</v>
      </c>
      <c r="I24" s="15"/>
      <c r="J24" s="10">
        <v>0</v>
      </c>
      <c r="K24" s="10">
        <f>J24/30</f>
        <v>0</v>
      </c>
      <c r="L24" s="9"/>
      <c r="M24" s="10">
        <f>K24*L24</f>
        <v>0</v>
      </c>
      <c r="N24" s="10">
        <f>M24*0.9</f>
        <v>0</v>
      </c>
      <c r="O24" s="11"/>
    </row>
    <row r="25" spans="1:15" x14ac:dyDescent="0.25">
      <c r="A25" s="21"/>
      <c r="B25" s="352"/>
      <c r="C25" s="353"/>
      <c r="D25" s="353"/>
      <c r="E25" s="352"/>
      <c r="F25" s="346"/>
      <c r="G25" s="347"/>
      <c r="H25" s="210">
        <f>G25-F25+1</f>
        <v>1</v>
      </c>
      <c r="I25" s="210"/>
      <c r="J25" s="348"/>
      <c r="K25" s="348">
        <f>J25/30</f>
        <v>0</v>
      </c>
      <c r="L25" s="349"/>
      <c r="M25" s="348">
        <f>K25*L25</f>
        <v>0</v>
      </c>
      <c r="N25" s="348">
        <f>M25*0.9</f>
        <v>0</v>
      </c>
      <c r="O25" s="11"/>
    </row>
    <row r="26" spans="1:15" ht="15.75" thickBot="1" x14ac:dyDescent="0.3">
      <c r="A26" s="21"/>
      <c r="B26" s="7"/>
      <c r="C26" s="7"/>
      <c r="D26" s="7"/>
      <c r="E26" s="7"/>
      <c r="F26" s="8"/>
      <c r="G26" s="203"/>
      <c r="H26" s="15">
        <f>G26-F26+1</f>
        <v>1</v>
      </c>
      <c r="I26" s="15"/>
      <c r="J26" s="10">
        <v>0</v>
      </c>
      <c r="K26" s="10">
        <f>J26/30</f>
        <v>0</v>
      </c>
      <c r="L26" s="9"/>
      <c r="M26" s="10">
        <f>K26*L26</f>
        <v>0</v>
      </c>
      <c r="N26" s="10">
        <f>M26*0.9</f>
        <v>0</v>
      </c>
      <c r="O26" s="11"/>
    </row>
    <row r="27" spans="1:15" ht="15.75" thickBot="1" x14ac:dyDescent="0.3">
      <c r="A27" s="4"/>
      <c r="B27" s="18"/>
      <c r="C27" s="18"/>
      <c r="D27" s="18"/>
      <c r="E27" s="18"/>
      <c r="F27" s="18"/>
      <c r="G27" s="18"/>
      <c r="H27" s="18"/>
      <c r="I27" s="18"/>
      <c r="J27" s="18"/>
      <c r="K27" s="4"/>
      <c r="L27" s="4"/>
      <c r="M27" s="4"/>
      <c r="N27" s="27">
        <f>SUM(N24:N26)</f>
        <v>0</v>
      </c>
      <c r="O27" s="46"/>
    </row>
    <row r="28" spans="1:15" ht="15.75" thickBot="1" x14ac:dyDescent="0.3"/>
    <row r="29" spans="1:15" ht="19.5" thickBot="1" x14ac:dyDescent="0.35">
      <c r="K29" s="547" t="s">
        <v>26</v>
      </c>
      <c r="L29" s="548"/>
      <c r="M29" s="549"/>
      <c r="N29" s="198">
        <f>N11+N19+N27</f>
        <v>0</v>
      </c>
    </row>
  </sheetData>
  <mergeCells count="42">
    <mergeCell ref="C12:M13"/>
    <mergeCell ref="A3:O3"/>
    <mergeCell ref="C4:M4"/>
    <mergeCell ref="A5:A6"/>
    <mergeCell ref="B5:B6"/>
    <mergeCell ref="C5:D5"/>
    <mergeCell ref="E5:E6"/>
    <mergeCell ref="F5:G5"/>
    <mergeCell ref="H5:H6"/>
    <mergeCell ref="I5:I6"/>
    <mergeCell ref="J5:J6"/>
    <mergeCell ref="K5:K6"/>
    <mergeCell ref="L5:L6"/>
    <mergeCell ref="M5:M6"/>
    <mergeCell ref="N5:N6"/>
    <mergeCell ref="O5:O6"/>
    <mergeCell ref="A14:A15"/>
    <mergeCell ref="B14:B15"/>
    <mergeCell ref="C14:D14"/>
    <mergeCell ref="E14:E15"/>
    <mergeCell ref="F14:G14"/>
    <mergeCell ref="H14:H15"/>
    <mergeCell ref="J14:J15"/>
    <mergeCell ref="K14:K15"/>
    <mergeCell ref="L14:L15"/>
    <mergeCell ref="M14:M15"/>
    <mergeCell ref="K29:M29"/>
    <mergeCell ref="N14:N15"/>
    <mergeCell ref="O14:O15"/>
    <mergeCell ref="C20:M21"/>
    <mergeCell ref="A22:A23"/>
    <mergeCell ref="B22:B23"/>
    <mergeCell ref="C22:D22"/>
    <mergeCell ref="E22:E23"/>
    <mergeCell ref="F22:G22"/>
    <mergeCell ref="H22:H23"/>
    <mergeCell ref="J22:J23"/>
    <mergeCell ref="K22:K23"/>
    <mergeCell ref="L22:L23"/>
    <mergeCell ref="M22:M23"/>
    <mergeCell ref="N22:N23"/>
    <mergeCell ref="O22:O23"/>
  </mergeCells>
  <pageMargins left="0.70866141732283472" right="0.31496062992125984" top="0.74803149606299213" bottom="0.74803149606299213" header="0.31496062992125984" footer="0.31496062992125984"/>
  <pageSetup scale="7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B2:J39"/>
  <sheetViews>
    <sheetView view="pageBreakPreview" topLeftCell="A4" zoomScaleNormal="145" zoomScaleSheetLayoutView="100" workbookViewId="0">
      <selection activeCell="E15" sqref="E15"/>
    </sheetView>
  </sheetViews>
  <sheetFormatPr baseColWidth="10" defaultColWidth="11.42578125" defaultRowHeight="15" x14ac:dyDescent="0.25"/>
  <cols>
    <col min="1" max="1" width="2" customWidth="1"/>
    <col min="2" max="2" width="4.85546875" customWidth="1"/>
    <col min="3" max="3" width="33.7109375" customWidth="1"/>
    <col min="4" max="4" width="16.7109375" customWidth="1"/>
    <col min="5" max="5" width="15.5703125" bestFit="1" customWidth="1"/>
    <col min="6" max="6" width="17" customWidth="1"/>
    <col min="7" max="7" width="12.7109375" bestFit="1" customWidth="1"/>
    <col min="8" max="8" width="16.28515625" customWidth="1"/>
    <col min="9" max="9" width="23" bestFit="1" customWidth="1"/>
    <col min="10" max="10" width="2.140625" customWidth="1"/>
    <col min="11" max="11" width="5.85546875" customWidth="1"/>
    <col min="14" max="14" width="18.28515625" customWidth="1"/>
  </cols>
  <sheetData>
    <row r="2" spans="2:9" ht="21" x14ac:dyDescent="0.35">
      <c r="B2" s="622" t="s">
        <v>46</v>
      </c>
      <c r="C2" s="622"/>
      <c r="D2" s="622"/>
      <c r="E2" s="622"/>
      <c r="F2" s="622"/>
      <c r="G2" s="622"/>
      <c r="H2" s="622"/>
      <c r="I2" s="622"/>
    </row>
    <row r="3" spans="2:9" ht="21" x14ac:dyDescent="0.35">
      <c r="B3" s="622" t="s">
        <v>47</v>
      </c>
      <c r="C3" s="622"/>
      <c r="D3" s="622"/>
      <c r="E3" s="622"/>
      <c r="F3" s="622"/>
      <c r="G3" s="622"/>
      <c r="H3" s="622"/>
      <c r="I3" s="622"/>
    </row>
    <row r="4" spans="2:9" ht="15.75" thickBot="1" x14ac:dyDescent="0.3"/>
    <row r="5" spans="2:9" ht="20.25" thickBot="1" x14ac:dyDescent="0.3">
      <c r="B5" s="626" t="s">
        <v>48</v>
      </c>
      <c r="C5" s="623" t="s">
        <v>135</v>
      </c>
      <c r="D5" s="624"/>
      <c r="E5" s="624"/>
      <c r="F5" s="624"/>
      <c r="G5" s="624"/>
      <c r="H5" s="624"/>
      <c r="I5" s="625"/>
    </row>
    <row r="6" spans="2:9" ht="30" thickBot="1" x14ac:dyDescent="0.3">
      <c r="B6" s="627"/>
      <c r="C6" s="139" t="s">
        <v>18</v>
      </c>
      <c r="D6" s="140" t="s">
        <v>17</v>
      </c>
      <c r="E6" s="141" t="s">
        <v>15</v>
      </c>
      <c r="F6" s="142" t="s">
        <v>19</v>
      </c>
      <c r="G6" s="628" t="s">
        <v>5</v>
      </c>
      <c r="H6" s="629"/>
      <c r="I6" s="143" t="s">
        <v>20</v>
      </c>
    </row>
    <row r="7" spans="2:9" ht="15.75" thickBot="1" x14ac:dyDescent="0.3">
      <c r="B7" s="118">
        <v>1</v>
      </c>
      <c r="C7" s="115" t="s">
        <v>35</v>
      </c>
      <c r="D7" s="161">
        <f>+CBES!N11</f>
        <v>211.5</v>
      </c>
      <c r="E7" s="161">
        <f>+CBES!N19</f>
        <v>9159.18</v>
      </c>
      <c r="F7" s="161">
        <f>+CBES!N27</f>
        <v>0</v>
      </c>
      <c r="G7" s="161">
        <f>SUM(D7:F7)</f>
        <v>9370.68</v>
      </c>
      <c r="H7" s="133"/>
      <c r="I7" s="134" t="s">
        <v>52</v>
      </c>
    </row>
    <row r="8" spans="2:9" x14ac:dyDescent="0.25">
      <c r="B8" s="117">
        <v>2</v>
      </c>
      <c r="C8" s="115" t="s">
        <v>21</v>
      </c>
      <c r="D8" s="144">
        <f>BCB!N9</f>
        <v>9804.7249999999985</v>
      </c>
      <c r="E8" s="144">
        <f>BCB!N17</f>
        <v>7441.2</v>
      </c>
      <c r="F8" s="144">
        <f>BCB!N26</f>
        <v>6425.9400000000005</v>
      </c>
      <c r="G8" s="202">
        <f>SUM(D8:F8)</f>
        <v>23671.864999999998</v>
      </c>
      <c r="H8" s="133"/>
      <c r="I8" s="134"/>
    </row>
    <row r="9" spans="2:9" x14ac:dyDescent="0.25">
      <c r="B9" s="118">
        <v>3</v>
      </c>
      <c r="C9" s="115" t="s">
        <v>22</v>
      </c>
      <c r="D9" s="144">
        <f>ASFI!N12</f>
        <v>36187.280000000006</v>
      </c>
      <c r="E9" s="144">
        <f>+ASFI!N19</f>
        <v>12724.29</v>
      </c>
      <c r="F9" s="144">
        <f>ASFI!N26</f>
        <v>0</v>
      </c>
      <c r="G9" s="202">
        <f>SUM(D9:F9)</f>
        <v>48911.570000000007</v>
      </c>
      <c r="H9" s="197"/>
      <c r="I9" s="207"/>
    </row>
    <row r="10" spans="2:9" x14ac:dyDescent="0.25">
      <c r="B10" s="118">
        <v>4</v>
      </c>
      <c r="C10" s="115" t="s">
        <v>23</v>
      </c>
      <c r="D10" s="144">
        <f>UIF!N11</f>
        <v>11011.5</v>
      </c>
      <c r="E10" s="144">
        <f>UIF!N19</f>
        <v>0</v>
      </c>
      <c r="F10" s="144">
        <f>UIF!N27</f>
        <v>0</v>
      </c>
      <c r="G10" s="202">
        <f t="shared" ref="G10:G23" si="0">SUM(D10:F10)</f>
        <v>11011.5</v>
      </c>
      <c r="H10" s="133"/>
      <c r="I10" s="134"/>
    </row>
    <row r="11" spans="2:9" x14ac:dyDescent="0.25">
      <c r="B11" s="118">
        <v>5</v>
      </c>
      <c r="C11" s="115" t="s">
        <v>32</v>
      </c>
      <c r="D11" s="144">
        <f>'FC-BCB'!N11</f>
        <v>6752.25</v>
      </c>
      <c r="E11" s="144">
        <f>'FC-BCB'!N19</f>
        <v>0</v>
      </c>
      <c r="F11" s="144">
        <f>'FC-BCB'!N27</f>
        <v>0</v>
      </c>
      <c r="G11" s="202">
        <f t="shared" si="0"/>
        <v>6752.25</v>
      </c>
      <c r="H11" s="133"/>
      <c r="I11" s="134"/>
    </row>
    <row r="12" spans="2:9" x14ac:dyDescent="0.25">
      <c r="B12" s="118">
        <v>6</v>
      </c>
      <c r="C12" s="115" t="s">
        <v>33</v>
      </c>
      <c r="D12" s="144">
        <f>MNA!N12</f>
        <v>2601.7750000000001</v>
      </c>
      <c r="E12" s="144">
        <f>MNA!N20</f>
        <v>0</v>
      </c>
      <c r="F12" s="144">
        <f>MNA!N28</f>
        <v>0</v>
      </c>
      <c r="G12" s="202">
        <f t="shared" si="0"/>
        <v>2601.7750000000001</v>
      </c>
      <c r="H12" s="133"/>
      <c r="I12" s="134"/>
    </row>
    <row r="13" spans="2:9" x14ac:dyDescent="0.25">
      <c r="B13" s="118">
        <v>7</v>
      </c>
      <c r="C13" s="115" t="s">
        <v>34</v>
      </c>
      <c r="D13" s="144">
        <f>MUSEF!N10</f>
        <v>0</v>
      </c>
      <c r="E13" s="144">
        <f>MUSEF!N18</f>
        <v>0</v>
      </c>
      <c r="F13" s="144">
        <f>MUSEF!N26</f>
        <v>0</v>
      </c>
      <c r="G13" s="202">
        <f t="shared" si="0"/>
        <v>0</v>
      </c>
      <c r="H13" s="133"/>
      <c r="I13" s="134"/>
    </row>
    <row r="14" spans="2:9" x14ac:dyDescent="0.25">
      <c r="B14" s="118">
        <v>8</v>
      </c>
      <c r="C14" s="200" t="s">
        <v>24</v>
      </c>
      <c r="D14" s="144">
        <f>+MEFP!N14</f>
        <v>24690.5</v>
      </c>
      <c r="E14" s="144">
        <f>+MEFP!N22</f>
        <v>4942.08</v>
      </c>
      <c r="F14" s="144">
        <f>+MEFP!N30</f>
        <v>4509.420000000001</v>
      </c>
      <c r="G14" s="202">
        <f t="shared" si="0"/>
        <v>34142</v>
      </c>
      <c r="H14" s="201"/>
      <c r="I14" s="134"/>
    </row>
    <row r="15" spans="2:9" x14ac:dyDescent="0.25">
      <c r="B15" s="118">
        <v>9</v>
      </c>
      <c r="C15" s="115" t="s">
        <v>36</v>
      </c>
      <c r="D15" s="144">
        <f>+AFCOOP!N11</f>
        <v>0</v>
      </c>
      <c r="E15" s="144">
        <f>+AFCOOP!N19</f>
        <v>0</v>
      </c>
      <c r="F15" s="144">
        <f>+AFCOOP!N27</f>
        <v>0</v>
      </c>
      <c r="G15" s="202">
        <f t="shared" si="0"/>
        <v>0</v>
      </c>
      <c r="H15" s="133"/>
      <c r="I15" s="134"/>
    </row>
    <row r="16" spans="2:9" x14ac:dyDescent="0.25">
      <c r="B16" s="118">
        <v>10</v>
      </c>
      <c r="C16" s="115" t="s">
        <v>42</v>
      </c>
      <c r="D16" s="144">
        <f>AISEM!N10</f>
        <v>6316.4250000000011</v>
      </c>
      <c r="E16" s="144">
        <f>AISEM!N18</f>
        <v>0</v>
      </c>
      <c r="F16" s="144">
        <f>AISEM!N26</f>
        <v>0</v>
      </c>
      <c r="G16" s="202">
        <f t="shared" si="0"/>
        <v>6316.4250000000011</v>
      </c>
      <c r="H16" s="133"/>
      <c r="I16" s="134"/>
    </row>
    <row r="17" spans="2:9" x14ac:dyDescent="0.25">
      <c r="B17" s="118">
        <v>11</v>
      </c>
      <c r="C17" s="115" t="s">
        <v>45</v>
      </c>
      <c r="D17" s="144">
        <f>ETS!N11</f>
        <v>0</v>
      </c>
      <c r="E17" s="144">
        <f>ETS!N20</f>
        <v>1109.6400000000001</v>
      </c>
      <c r="F17" s="144">
        <f>ETS!N28</f>
        <v>0</v>
      </c>
      <c r="G17" s="202">
        <f t="shared" si="0"/>
        <v>1109.6400000000001</v>
      </c>
      <c r="H17" s="133"/>
      <c r="I17" s="134"/>
    </row>
    <row r="18" spans="2:9" x14ac:dyDescent="0.25">
      <c r="B18" s="118">
        <v>12</v>
      </c>
      <c r="C18" s="115" t="s">
        <v>43</v>
      </c>
      <c r="D18" s="144">
        <f>CENETROP!N11</f>
        <v>0</v>
      </c>
      <c r="E18" s="144">
        <f>CENETROP!N19</f>
        <v>0</v>
      </c>
      <c r="F18" s="144">
        <f>CENETROP!N27</f>
        <v>0</v>
      </c>
      <c r="G18" s="202">
        <f t="shared" si="0"/>
        <v>0</v>
      </c>
      <c r="H18" s="204"/>
      <c r="I18" s="205"/>
    </row>
    <row r="19" spans="2:9" x14ac:dyDescent="0.25">
      <c r="B19" s="118">
        <v>13</v>
      </c>
      <c r="C19" s="115" t="s">
        <v>50</v>
      </c>
      <c r="D19" s="144">
        <f>+ENS!N11</f>
        <v>0</v>
      </c>
      <c r="E19" s="144">
        <f>+ENS!N19</f>
        <v>0</v>
      </c>
      <c r="F19" s="144">
        <f>+ENS!N27</f>
        <v>0</v>
      </c>
      <c r="G19" s="202">
        <f t="shared" si="0"/>
        <v>0</v>
      </c>
      <c r="H19" s="133"/>
      <c r="I19" s="134"/>
    </row>
    <row r="20" spans="2:9" x14ac:dyDescent="0.25">
      <c r="B20" s="118">
        <v>14</v>
      </c>
      <c r="C20" s="115" t="s">
        <v>49</v>
      </c>
      <c r="D20" s="144">
        <f>EDITORIAL!N11</f>
        <v>0</v>
      </c>
      <c r="E20" s="144">
        <f>EDITORIAL!N19</f>
        <v>0</v>
      </c>
      <c r="F20" s="144">
        <f>EDITORIAL!N27</f>
        <v>0</v>
      </c>
      <c r="G20" s="202">
        <f t="shared" si="0"/>
        <v>0</v>
      </c>
      <c r="H20" s="133"/>
      <c r="I20" s="134"/>
    </row>
    <row r="21" spans="2:9" x14ac:dyDescent="0.25">
      <c r="B21" s="118">
        <v>15</v>
      </c>
      <c r="C21" s="115" t="s">
        <v>54</v>
      </c>
      <c r="D21" s="144">
        <f>+CEASS!N11</f>
        <v>5408.95</v>
      </c>
      <c r="E21" s="144">
        <f>+CEASS!N19</f>
        <v>6144.5999999999995</v>
      </c>
      <c r="F21" s="144">
        <f>+CEASS!N26</f>
        <v>3423.6</v>
      </c>
      <c r="G21" s="202">
        <f t="shared" si="0"/>
        <v>14977.15</v>
      </c>
      <c r="H21" s="133"/>
      <c r="I21" s="134"/>
    </row>
    <row r="22" spans="2:9" x14ac:dyDescent="0.25">
      <c r="B22" s="118">
        <v>16</v>
      </c>
      <c r="C22" s="115" t="s">
        <v>110</v>
      </c>
      <c r="D22" s="145">
        <f>+CANCILLERIA!N11</f>
        <v>3097.05</v>
      </c>
      <c r="E22" s="145">
        <f>+CANCILLERIA!N19</f>
        <v>10457.1</v>
      </c>
      <c r="F22" s="145">
        <f>+CANCILLERIA!N27</f>
        <v>0</v>
      </c>
      <c r="G22" s="202">
        <f t="shared" si="0"/>
        <v>13554.150000000001</v>
      </c>
      <c r="H22" s="133"/>
      <c r="I22" s="134"/>
    </row>
    <row r="23" spans="2:9" x14ac:dyDescent="0.25">
      <c r="B23" s="118">
        <v>18</v>
      </c>
      <c r="C23" s="115" t="s">
        <v>156</v>
      </c>
      <c r="D23" s="145">
        <f>+PLANIFICACION!N9</f>
        <v>0</v>
      </c>
      <c r="E23" s="145">
        <f>+PLANIFICACION!N17</f>
        <v>0</v>
      </c>
      <c r="F23" s="145">
        <f>+PLANIFICACION!N25</f>
        <v>647.22</v>
      </c>
      <c r="G23" s="202">
        <f t="shared" si="0"/>
        <v>647.22</v>
      </c>
      <c r="H23" s="133"/>
      <c r="I23" s="134"/>
    </row>
    <row r="24" spans="2:9" x14ac:dyDescent="0.25">
      <c r="B24" s="118">
        <v>19</v>
      </c>
      <c r="C24" s="115" t="s">
        <v>92</v>
      </c>
      <c r="D24" s="144">
        <f>+SUDEMSA!N10</f>
        <v>0</v>
      </c>
      <c r="E24" s="144">
        <f>+SUDEMSA!N17</f>
        <v>0</v>
      </c>
      <c r="F24" s="144">
        <f>+SUDEMSA!N24</f>
        <v>0</v>
      </c>
      <c r="G24" s="135"/>
      <c r="H24" s="188">
        <f>SUM(D24:G24)</f>
        <v>0</v>
      </c>
      <c r="I24" s="206"/>
    </row>
    <row r="25" spans="2:9" x14ac:dyDescent="0.25">
      <c r="B25" s="118">
        <v>20</v>
      </c>
      <c r="C25" s="115" t="s">
        <v>56</v>
      </c>
      <c r="D25" s="144">
        <f>MEDECIN!M8</f>
        <v>0</v>
      </c>
      <c r="E25" s="144">
        <f>MEDECIN!M16</f>
        <v>0</v>
      </c>
      <c r="F25" s="144">
        <f>MEDECIN!M24</f>
        <v>0</v>
      </c>
      <c r="G25" s="135"/>
      <c r="H25" s="188">
        <f>SUM(D25:G25)</f>
        <v>0</v>
      </c>
      <c r="I25" s="134"/>
    </row>
    <row r="26" spans="2:9" x14ac:dyDescent="0.25">
      <c r="B26" s="118">
        <v>21</v>
      </c>
      <c r="C26" s="115" t="s">
        <v>85</v>
      </c>
      <c r="D26" s="144">
        <f>FOODEMSA!M9</f>
        <v>0</v>
      </c>
      <c r="E26" s="144">
        <f>FOODEMSA!M17</f>
        <v>0</v>
      </c>
      <c r="F26" s="144">
        <f>FOODEMSA!M26</f>
        <v>0</v>
      </c>
      <c r="G26" s="135"/>
      <c r="H26" s="188">
        <f>SUM(D26:G26)</f>
        <v>0</v>
      </c>
      <c r="I26" s="134"/>
    </row>
    <row r="27" spans="2:9" x14ac:dyDescent="0.25">
      <c r="B27" s="118">
        <v>22</v>
      </c>
      <c r="C27" s="115" t="s">
        <v>96</v>
      </c>
      <c r="D27" s="144">
        <f>EFITRUCKS!O10</f>
        <v>0</v>
      </c>
      <c r="E27" s="144">
        <f>EFITRUCKS!O18</f>
        <v>0</v>
      </c>
      <c r="F27" s="144">
        <f>EFITRUCKS!O26</f>
        <v>0</v>
      </c>
      <c r="G27" s="135"/>
      <c r="H27" s="188">
        <f t="shared" ref="H27:H35" si="1">SUM(D27:G27)</f>
        <v>0</v>
      </c>
      <c r="I27" s="134"/>
    </row>
    <row r="28" spans="2:9" x14ac:dyDescent="0.25">
      <c r="B28" s="118">
        <v>23</v>
      </c>
      <c r="C28" s="115" t="s">
        <v>58</v>
      </c>
      <c r="D28" s="144">
        <f>+CONSULADO!N8</f>
        <v>0</v>
      </c>
      <c r="E28" s="144">
        <f>+CONSULADO!N16</f>
        <v>0</v>
      </c>
      <c r="F28" s="144">
        <f>+CONSULADO!N24</f>
        <v>0</v>
      </c>
      <c r="G28" s="135"/>
      <c r="H28" s="188">
        <f t="shared" si="1"/>
        <v>0</v>
      </c>
      <c r="I28" s="134"/>
    </row>
    <row r="29" spans="2:9" x14ac:dyDescent="0.25">
      <c r="B29" s="118">
        <v>24</v>
      </c>
      <c r="C29" s="115" t="s">
        <v>98</v>
      </c>
      <c r="D29" s="144">
        <f>+FOIANINI!N11</f>
        <v>1441.0940000000001</v>
      </c>
      <c r="E29" s="144">
        <f>+FOIANINI!N19</f>
        <v>0</v>
      </c>
      <c r="F29" s="144">
        <f>+FOIANINI!N27</f>
        <v>0</v>
      </c>
      <c r="G29" s="135"/>
      <c r="H29" s="188">
        <f t="shared" si="1"/>
        <v>1441.0940000000001</v>
      </c>
      <c r="I29" s="134"/>
    </row>
    <row r="30" spans="2:9" x14ac:dyDescent="0.25">
      <c r="B30" s="118">
        <v>26</v>
      </c>
      <c r="C30" s="115" t="s">
        <v>161</v>
      </c>
      <c r="D30" s="144">
        <f>+ONEDATA!N10</f>
        <v>250</v>
      </c>
      <c r="E30" s="144">
        <f>+ONEDATA!N18</f>
        <v>0</v>
      </c>
      <c r="F30" s="144">
        <f>+ONEDATA!N26</f>
        <v>0</v>
      </c>
      <c r="G30" s="135"/>
      <c r="H30" s="188">
        <f t="shared" si="1"/>
        <v>250</v>
      </c>
      <c r="I30" s="134"/>
    </row>
    <row r="31" spans="2:9" x14ac:dyDescent="0.25">
      <c r="B31" s="118">
        <v>27</v>
      </c>
      <c r="C31" s="115" t="s">
        <v>112</v>
      </c>
      <c r="D31" s="144">
        <f>+OPERADORALATIV!N10</f>
        <v>0</v>
      </c>
      <c r="E31" s="144">
        <f>+OPERADORALATIV!N17</f>
        <v>0</v>
      </c>
      <c r="F31" s="144">
        <f>+OPERADORALATIV!N25</f>
        <v>0</v>
      </c>
      <c r="G31" s="135"/>
      <c r="H31" s="188">
        <f t="shared" si="1"/>
        <v>0</v>
      </c>
      <c r="I31" s="134"/>
    </row>
    <row r="32" spans="2:9" x14ac:dyDescent="0.25">
      <c r="B32" s="118">
        <v>28</v>
      </c>
      <c r="C32" s="115" t="s">
        <v>44</v>
      </c>
      <c r="D32" s="144">
        <f>COSAIN!O11</f>
        <v>2012.83125</v>
      </c>
      <c r="E32" s="144">
        <f>COSAIN!O19</f>
        <v>5171.3190000000004</v>
      </c>
      <c r="F32" s="144">
        <f>COSAIN!O27</f>
        <v>0</v>
      </c>
      <c r="G32" s="135"/>
      <c r="H32" s="188">
        <f t="shared" si="1"/>
        <v>7184.1502500000006</v>
      </c>
      <c r="I32" s="134"/>
    </row>
    <row r="33" spans="2:10" x14ac:dyDescent="0.25">
      <c r="B33" s="118">
        <v>31</v>
      </c>
      <c r="C33" s="116" t="s">
        <v>118</v>
      </c>
      <c r="D33" s="145">
        <f>+FOLCOL!N10</f>
        <v>0</v>
      </c>
      <c r="E33" s="145">
        <f>+FOLCOL!N18</f>
        <v>0</v>
      </c>
      <c r="F33" s="145">
        <f>+FOLCOL!N25</f>
        <v>0</v>
      </c>
      <c r="G33" s="135"/>
      <c r="H33" s="188">
        <f t="shared" si="1"/>
        <v>0</v>
      </c>
      <c r="I33" s="136"/>
    </row>
    <row r="34" spans="2:10" x14ac:dyDescent="0.25">
      <c r="B34" s="118">
        <v>32</v>
      </c>
      <c r="C34" s="116" t="s">
        <v>88</v>
      </c>
      <c r="D34" s="145">
        <f>+PONQPAST!N10</f>
        <v>0</v>
      </c>
      <c r="E34" s="145">
        <f>+PONQPAST!N18</f>
        <v>0</v>
      </c>
      <c r="F34" s="145">
        <f>+PONQPAST!N26</f>
        <v>0</v>
      </c>
      <c r="G34" s="135"/>
      <c r="H34" s="188">
        <f t="shared" si="1"/>
        <v>0</v>
      </c>
      <c r="I34" s="136"/>
    </row>
    <row r="35" spans="2:10" x14ac:dyDescent="0.25">
      <c r="B35" s="118">
        <v>33</v>
      </c>
      <c r="C35" s="116" t="s">
        <v>128</v>
      </c>
      <c r="D35" s="145">
        <f>+ELOHIM!N11</f>
        <v>0</v>
      </c>
      <c r="E35" s="145">
        <f>+ELOHIM!N19</f>
        <v>0</v>
      </c>
      <c r="F35" s="145">
        <f>+ELOHIM!N27</f>
        <v>0</v>
      </c>
      <c r="G35" s="135"/>
      <c r="H35" s="188">
        <f t="shared" si="1"/>
        <v>0</v>
      </c>
      <c r="I35" s="136"/>
    </row>
    <row r="36" spans="2:10" ht="15.75" thickBot="1" x14ac:dyDescent="0.3">
      <c r="B36" s="118"/>
      <c r="C36" s="116"/>
      <c r="D36" s="145"/>
      <c r="E36" s="145"/>
      <c r="F36" s="145"/>
      <c r="G36" s="135"/>
      <c r="H36" s="188"/>
      <c r="I36" s="136"/>
    </row>
    <row r="37" spans="2:10" s="131" customFormat="1" ht="22.5" customHeight="1" thickBot="1" x14ac:dyDescent="0.3">
      <c r="B37" s="619" t="s">
        <v>5</v>
      </c>
      <c r="C37" s="620"/>
      <c r="D37" s="620"/>
      <c r="E37" s="620"/>
      <c r="F37" s="621"/>
      <c r="G37" s="137">
        <f>SUM(G7:G36)</f>
        <v>173066.22500000001</v>
      </c>
      <c r="H37" s="138">
        <f>SUM(H7:H36)</f>
        <v>8875.2442499999997</v>
      </c>
      <c r="I37" s="132">
        <f>+G37+H37</f>
        <v>181941.46924999999</v>
      </c>
      <c r="J37"/>
    </row>
    <row r="38" spans="2:10" s="131" customFormat="1" ht="22.5" customHeight="1" x14ac:dyDescent="0.25">
      <c r="B38" s="147"/>
      <c r="C38" s="147"/>
      <c r="D38" s="147"/>
      <c r="E38" s="147"/>
      <c r="F38" s="147"/>
      <c r="G38" s="147"/>
      <c r="H38" s="148"/>
      <c r="I38" s="148"/>
      <c r="J38"/>
    </row>
    <row r="39" spans="2:10" x14ac:dyDescent="0.25">
      <c r="I39" s="187"/>
    </row>
  </sheetData>
  <mergeCells count="6">
    <mergeCell ref="B37:F37"/>
    <mergeCell ref="B2:I2"/>
    <mergeCell ref="B3:I3"/>
    <mergeCell ref="C5:I5"/>
    <mergeCell ref="B5:B6"/>
    <mergeCell ref="G6:H6"/>
  </mergeCells>
  <pageMargins left="0.55118110236220474" right="0.19685039370078741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1</vt:i4>
      </vt:variant>
    </vt:vector>
  </HeadingPairs>
  <TitlesOfParts>
    <vt:vector size="31" baseType="lpstr">
      <vt:lpstr>CBES</vt:lpstr>
      <vt:lpstr>BCB</vt:lpstr>
      <vt:lpstr>ASFI</vt:lpstr>
      <vt:lpstr>UIF</vt:lpstr>
      <vt:lpstr>FC-BCB</vt:lpstr>
      <vt:lpstr>MNA</vt:lpstr>
      <vt:lpstr>MUSEF</vt:lpstr>
      <vt:lpstr>MEFP</vt:lpstr>
      <vt:lpstr>ENS</vt:lpstr>
      <vt:lpstr>ETS</vt:lpstr>
      <vt:lpstr>EDITORIAL</vt:lpstr>
      <vt:lpstr>AFCOOP</vt:lpstr>
      <vt:lpstr>AISEM</vt:lpstr>
      <vt:lpstr>CENETROP</vt:lpstr>
      <vt:lpstr>CEASS</vt:lpstr>
      <vt:lpstr>PLANIFICACION</vt:lpstr>
      <vt:lpstr>CANCILLERIA</vt:lpstr>
      <vt:lpstr>MEDECIN</vt:lpstr>
      <vt:lpstr>FOODEMSA</vt:lpstr>
      <vt:lpstr>EFITRUCKS</vt:lpstr>
      <vt:lpstr>CONSULADO</vt:lpstr>
      <vt:lpstr>FOIANINI</vt:lpstr>
      <vt:lpstr>ONEDATA</vt:lpstr>
      <vt:lpstr>OPERADORALATIV</vt:lpstr>
      <vt:lpstr>COSAIN</vt:lpstr>
      <vt:lpstr>FOLCOL</vt:lpstr>
      <vt:lpstr>PONQPAST</vt:lpstr>
      <vt:lpstr>SUDEMSA</vt:lpstr>
      <vt:lpstr>ELOHIM</vt:lpstr>
      <vt:lpstr>TOTAL REEMBOLSO</vt:lpstr>
      <vt:lpstr>ENS!Área_de_impresión</vt:lpstr>
    </vt:vector>
  </TitlesOfParts>
  <Company>GP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AFILIACIONES</dc:creator>
  <cp:lastModifiedBy>Alejandro Iglesias Raldes</cp:lastModifiedBy>
  <cp:lastPrinted>2025-03-27T01:15:56Z</cp:lastPrinted>
  <dcterms:created xsi:type="dcterms:W3CDTF">2014-02-25T20:44:22Z</dcterms:created>
  <dcterms:modified xsi:type="dcterms:W3CDTF">2025-10-03T18:38:16Z</dcterms:modified>
</cp:coreProperties>
</file>